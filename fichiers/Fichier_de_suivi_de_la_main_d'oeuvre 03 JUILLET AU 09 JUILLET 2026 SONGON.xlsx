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C:\Users\yacouba.mohamed\Documents\Fichier_Paie\"/>
    </mc:Choice>
  </mc:AlternateContent>
  <xr:revisionPtr revIDLastSave="0" documentId="13_ncr:1_{0D60CDE3-224A-4300-A736-91093F93A4E8}" xr6:coauthVersionLast="47" xr6:coauthVersionMax="47" xr10:uidLastSave="{00000000-0000-0000-0000-000000000000}"/>
  <bookViews>
    <workbookView xWindow="-96" yWindow="-96" windowWidth="23232" windowHeight="12552" tabRatio="886" firstSheet="4" activeTab="4" xr2:uid="{00000000-000D-0000-FFFF-FFFF00000000}"/>
  </bookViews>
  <sheets>
    <sheet name="Lot 1 - SONGON - DQE" sheetId="1" state="hidden" r:id="rId1"/>
    <sheet name="Feuil2" sheetId="2" state="hidden" r:id="rId2"/>
    <sheet name="Instruction" sheetId="12" r:id="rId3"/>
    <sheet name="SUIVI HEBDOMADAIRE PAIE" sheetId="4" r:id="rId4"/>
    <sheet name="MACONS" sheetId="5" r:id="rId5"/>
    <sheet name="FERRAILLEURS" sheetId="6" r:id="rId6"/>
    <sheet name="COFFREURS" sheetId="7" r:id="rId7"/>
    <sheet name="PLOMBIERS" sheetId="8" r:id="rId8"/>
    <sheet name="CONDUCTEUR D'ENGINS" sheetId="9" r:id="rId9"/>
    <sheet name="OPERATEUR BETONNIERE" sheetId="10" r:id="rId10"/>
    <sheet name="AIDE CHANTIER" sheetId="11" r:id="rId11"/>
    <sheet name="HEURES SUP" sheetId="13" r:id="rId12"/>
  </sheets>
  <definedNames>
    <definedName name="_Hlk140489412" localSheetId="0">'Lot 1 - SONGON - DQE'!$A$3</definedName>
    <definedName name="D">FERRAILLEURS!$E:$E</definedName>
    <definedName name="_xlnm.Print_Titles" localSheetId="0">'Lot 1 - SONGON - DQE'!$1:$5</definedName>
    <definedName name="_xlnm.Print_Area" localSheetId="1">Feuil2!$B$1:$K$18</definedName>
    <definedName name="_xlnm.Print_Area" localSheetId="0">'Lot 1 - SONGON - DQE'!$A$1:$F$243</definedName>
    <definedName name="_xlnm.Print_Area" localSheetId="3">'SUIVI HEBDOMADAIRE PAIE'!$A$1:$T$28</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7" i="5" l="1"/>
  <c r="R8" i="5"/>
  <c r="R9" i="5"/>
  <c r="R10" i="5"/>
  <c r="R11" i="5"/>
  <c r="R12" i="5"/>
  <c r="R13" i="5"/>
  <c r="R14" i="5"/>
  <c r="R15" i="5"/>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U33" i="13" l="1"/>
  <c r="U41" i="13"/>
  <c r="U49" i="13"/>
  <c r="R26" i="13"/>
  <c r="S26" i="13"/>
  <c r="U26" i="13" s="1"/>
  <c r="R27" i="13"/>
  <c r="S27" i="13"/>
  <c r="U27" i="13" s="1"/>
  <c r="R28" i="13"/>
  <c r="S28" i="13"/>
  <c r="U28" i="13" s="1"/>
  <c r="R29" i="13"/>
  <c r="S29" i="13"/>
  <c r="U29" i="13" s="1"/>
  <c r="R30" i="13"/>
  <c r="S30" i="13"/>
  <c r="U30" i="13" s="1"/>
  <c r="R31" i="13"/>
  <c r="S31" i="13"/>
  <c r="U31" i="13" s="1"/>
  <c r="R32" i="13"/>
  <c r="S32" i="13"/>
  <c r="U32" i="13" s="1"/>
  <c r="R33" i="13"/>
  <c r="S33" i="13"/>
  <c r="R34" i="13"/>
  <c r="S34" i="13"/>
  <c r="U34" i="13" s="1"/>
  <c r="R35" i="13"/>
  <c r="S35" i="13"/>
  <c r="U35" i="13" s="1"/>
  <c r="R36" i="13"/>
  <c r="S36" i="13"/>
  <c r="U36" i="13" s="1"/>
  <c r="R37" i="13"/>
  <c r="S37" i="13"/>
  <c r="U37" i="13" s="1"/>
  <c r="R38" i="13"/>
  <c r="S38" i="13"/>
  <c r="U38" i="13" s="1"/>
  <c r="R39" i="13"/>
  <c r="S39" i="13"/>
  <c r="U39" i="13" s="1"/>
  <c r="R40" i="13"/>
  <c r="S40" i="13"/>
  <c r="U40" i="13" s="1"/>
  <c r="R41" i="13"/>
  <c r="S41" i="13"/>
  <c r="R42" i="13"/>
  <c r="S42" i="13"/>
  <c r="U42" i="13" s="1"/>
  <c r="R43" i="13"/>
  <c r="S43" i="13"/>
  <c r="U43" i="13" s="1"/>
  <c r="R44" i="13"/>
  <c r="S44" i="13"/>
  <c r="U44" i="13" s="1"/>
  <c r="R45" i="13"/>
  <c r="S45" i="13"/>
  <c r="U45" i="13" s="1"/>
  <c r="R46" i="13"/>
  <c r="S46" i="13"/>
  <c r="U46" i="13" s="1"/>
  <c r="R47" i="13"/>
  <c r="S47" i="13"/>
  <c r="U47" i="13" s="1"/>
  <c r="R48" i="13"/>
  <c r="S48" i="13"/>
  <c r="U48" i="13" s="1"/>
  <c r="R49" i="13"/>
  <c r="S49" i="13"/>
  <c r="R50" i="13"/>
  <c r="S50" i="13"/>
  <c r="U50" i="13" s="1"/>
  <c r="R51" i="13"/>
  <c r="S51" i="13"/>
  <c r="U51" i="13" s="1"/>
  <c r="R52" i="13"/>
  <c r="S52" i="13"/>
  <c r="U52" i="13" s="1"/>
  <c r="U40" i="11"/>
  <c r="U52" i="11"/>
  <c r="S26" i="11"/>
  <c r="U26" i="11" s="1"/>
  <c r="S27" i="11"/>
  <c r="U27" i="11" s="1"/>
  <c r="S28" i="11"/>
  <c r="U28" i="11" s="1"/>
  <c r="S29" i="11"/>
  <c r="U29" i="11" s="1"/>
  <c r="S30" i="11"/>
  <c r="U30" i="11" s="1"/>
  <c r="S31" i="11"/>
  <c r="U31" i="11" s="1"/>
  <c r="S32" i="11"/>
  <c r="U32" i="11" s="1"/>
  <c r="S33" i="11"/>
  <c r="U33" i="11" s="1"/>
  <c r="S34" i="11"/>
  <c r="U34" i="11" s="1"/>
  <c r="S35" i="11"/>
  <c r="U35" i="11" s="1"/>
  <c r="S36" i="11"/>
  <c r="U36" i="11" s="1"/>
  <c r="S37" i="11"/>
  <c r="U37" i="11" s="1"/>
  <c r="S38" i="11"/>
  <c r="U38" i="11" s="1"/>
  <c r="S39" i="11"/>
  <c r="U39" i="11" s="1"/>
  <c r="R40" i="11"/>
  <c r="S40" i="11"/>
  <c r="R41" i="11"/>
  <c r="S41" i="11"/>
  <c r="U41" i="11" s="1"/>
  <c r="R42" i="11"/>
  <c r="S42" i="11"/>
  <c r="U42" i="11" s="1"/>
  <c r="R43" i="11"/>
  <c r="S43" i="11"/>
  <c r="U43" i="11" s="1"/>
  <c r="R44" i="11"/>
  <c r="S44" i="11"/>
  <c r="U44" i="11" s="1"/>
  <c r="R45" i="11"/>
  <c r="S45" i="11"/>
  <c r="U45" i="11" s="1"/>
  <c r="R46" i="11"/>
  <c r="S46" i="11"/>
  <c r="U46" i="11" s="1"/>
  <c r="R47" i="11"/>
  <c r="S47" i="11"/>
  <c r="U47" i="11" s="1"/>
  <c r="R48" i="11"/>
  <c r="S48" i="11"/>
  <c r="U48" i="11" s="1"/>
  <c r="R49" i="11"/>
  <c r="S49" i="11"/>
  <c r="U49" i="11" s="1"/>
  <c r="R50" i="11"/>
  <c r="S50" i="11"/>
  <c r="U50" i="11" s="1"/>
  <c r="R51" i="11"/>
  <c r="S51" i="11"/>
  <c r="U51" i="11" s="1"/>
  <c r="R52" i="11"/>
  <c r="S52" i="11"/>
  <c r="S14" i="4"/>
  <c r="H14" i="4"/>
  <c r="H13" i="4"/>
  <c r="I13" i="4"/>
  <c r="F11" i="4"/>
  <c r="J11" i="4"/>
  <c r="T58" i="13"/>
  <c r="Q58" i="13"/>
  <c r="Q14" i="4" s="1"/>
  <c r="P58" i="13"/>
  <c r="P14" i="4" s="1"/>
  <c r="O58" i="13"/>
  <c r="O14" i="4" s="1"/>
  <c r="N58" i="13"/>
  <c r="N14" i="4" s="1"/>
  <c r="M58" i="13"/>
  <c r="M14" i="4" s="1"/>
  <c r="L58" i="13"/>
  <c r="L14" i="4" s="1"/>
  <c r="K58" i="13"/>
  <c r="K14" i="4" s="1"/>
  <c r="J58" i="13"/>
  <c r="J14" i="4" s="1"/>
  <c r="I58" i="13"/>
  <c r="I14" i="4" s="1"/>
  <c r="H58" i="13"/>
  <c r="G58" i="13"/>
  <c r="S58" i="13" s="1"/>
  <c r="F58" i="13"/>
  <c r="F14" i="4" s="1"/>
  <c r="E58" i="13"/>
  <c r="E14" i="4" s="1"/>
  <c r="D58" i="13"/>
  <c r="D14" i="4" s="1"/>
  <c r="S57" i="13"/>
  <c r="U57" i="13" s="1"/>
  <c r="R57" i="13"/>
  <c r="S56" i="13"/>
  <c r="U56" i="13" s="1"/>
  <c r="R56" i="13"/>
  <c r="S55" i="13"/>
  <c r="U55" i="13" s="1"/>
  <c r="R55" i="13"/>
  <c r="S54" i="13"/>
  <c r="U54" i="13" s="1"/>
  <c r="R54" i="13"/>
  <c r="U53" i="13"/>
  <c r="S53" i="13"/>
  <c r="R53" i="13"/>
  <c r="S25" i="13"/>
  <c r="U25" i="13" s="1"/>
  <c r="R25" i="13"/>
  <c r="S24" i="13"/>
  <c r="U24" i="13" s="1"/>
  <c r="R24" i="13"/>
  <c r="S23" i="13"/>
  <c r="U23" i="13" s="1"/>
  <c r="R23" i="13"/>
  <c r="S22" i="13"/>
  <c r="U22" i="13" s="1"/>
  <c r="R22" i="13"/>
  <c r="S21" i="13"/>
  <c r="U21" i="13" s="1"/>
  <c r="R21" i="13"/>
  <c r="S20" i="13"/>
  <c r="U20" i="13" s="1"/>
  <c r="R20" i="13"/>
  <c r="S19" i="13"/>
  <c r="U19" i="13" s="1"/>
  <c r="R19" i="13"/>
  <c r="S18" i="13"/>
  <c r="U18" i="13" s="1"/>
  <c r="R18" i="13"/>
  <c r="S17" i="13"/>
  <c r="U17" i="13" s="1"/>
  <c r="R17" i="13"/>
  <c r="S16" i="13"/>
  <c r="U16" i="13" s="1"/>
  <c r="R16" i="13"/>
  <c r="S15" i="13"/>
  <c r="U15" i="13" s="1"/>
  <c r="R15" i="13"/>
  <c r="S14" i="13"/>
  <c r="U14" i="13" s="1"/>
  <c r="R14" i="13"/>
  <c r="S13" i="13"/>
  <c r="U13" i="13" s="1"/>
  <c r="R13" i="13"/>
  <c r="S12" i="13"/>
  <c r="U12" i="13" s="1"/>
  <c r="R12" i="13"/>
  <c r="S11" i="13"/>
  <c r="U11" i="13" s="1"/>
  <c r="R11" i="13"/>
  <c r="S10" i="13"/>
  <c r="U10" i="13" s="1"/>
  <c r="R10" i="13"/>
  <c r="S9" i="13"/>
  <c r="U9" i="13" s="1"/>
  <c r="R9" i="13"/>
  <c r="S8" i="13"/>
  <c r="U8" i="13" s="1"/>
  <c r="R8" i="13"/>
  <c r="S7" i="13"/>
  <c r="U7" i="13" s="1"/>
  <c r="R7" i="13"/>
  <c r="D58" i="11"/>
  <c r="D13" i="4" s="1"/>
  <c r="T58" i="11"/>
  <c r="S13" i="4" s="1"/>
  <c r="Q58" i="11"/>
  <c r="Q13" i="4" s="1"/>
  <c r="P58" i="11"/>
  <c r="P13" i="4" s="1"/>
  <c r="O58" i="11"/>
  <c r="O13" i="4" s="1"/>
  <c r="N58" i="11"/>
  <c r="N13" i="4" s="1"/>
  <c r="M58" i="11"/>
  <c r="M13" i="4" s="1"/>
  <c r="L58" i="11"/>
  <c r="L13" i="4" s="1"/>
  <c r="K58" i="11"/>
  <c r="K13" i="4" s="1"/>
  <c r="J58" i="11"/>
  <c r="J13" i="4" s="1"/>
  <c r="I58" i="11"/>
  <c r="H58" i="11"/>
  <c r="G58" i="11"/>
  <c r="G13" i="4" s="1"/>
  <c r="F58" i="11"/>
  <c r="F13" i="4" s="1"/>
  <c r="E58" i="11"/>
  <c r="E13" i="4" s="1"/>
  <c r="S57" i="11"/>
  <c r="U57" i="11" s="1"/>
  <c r="R57" i="11"/>
  <c r="S56" i="11"/>
  <c r="U56" i="11" s="1"/>
  <c r="R56" i="11"/>
  <c r="S55" i="11"/>
  <c r="U55" i="11" s="1"/>
  <c r="R55" i="11"/>
  <c r="S54" i="11"/>
  <c r="U54" i="11" s="1"/>
  <c r="R54" i="11"/>
  <c r="S53" i="11"/>
  <c r="U53" i="11" s="1"/>
  <c r="R53" i="11"/>
  <c r="S25" i="11"/>
  <c r="U25" i="11" s="1"/>
  <c r="S24" i="11"/>
  <c r="U24" i="11" s="1"/>
  <c r="S23" i="11"/>
  <c r="U23" i="11" s="1"/>
  <c r="S22" i="11"/>
  <c r="U22" i="11" s="1"/>
  <c r="S21" i="11"/>
  <c r="U21" i="11" s="1"/>
  <c r="S20" i="11"/>
  <c r="U20" i="11" s="1"/>
  <c r="S19" i="11"/>
  <c r="U19" i="11" s="1"/>
  <c r="S18" i="11"/>
  <c r="U18" i="11" s="1"/>
  <c r="S17" i="11"/>
  <c r="U17" i="11" s="1"/>
  <c r="S16" i="11"/>
  <c r="U16" i="11" s="1"/>
  <c r="S15" i="11"/>
  <c r="U15" i="11" s="1"/>
  <c r="S14" i="11"/>
  <c r="U14" i="11" s="1"/>
  <c r="S13" i="11"/>
  <c r="U13" i="11" s="1"/>
  <c r="S12" i="11"/>
  <c r="U12" i="11" s="1"/>
  <c r="S11" i="11"/>
  <c r="U11" i="11" s="1"/>
  <c r="S10" i="11"/>
  <c r="U10" i="11" s="1"/>
  <c r="S9" i="11"/>
  <c r="U9" i="11" s="1"/>
  <c r="S8" i="11"/>
  <c r="U8" i="11" s="1"/>
  <c r="S7" i="11"/>
  <c r="U7" i="11" s="1"/>
  <c r="T31" i="10"/>
  <c r="S12" i="4" s="1"/>
  <c r="Q31" i="10"/>
  <c r="Q12" i="4" s="1"/>
  <c r="P31" i="10"/>
  <c r="P12" i="4" s="1"/>
  <c r="O31" i="10"/>
  <c r="O12" i="4" s="1"/>
  <c r="N31" i="10"/>
  <c r="N12" i="4" s="1"/>
  <c r="M31" i="10"/>
  <c r="M12" i="4" s="1"/>
  <c r="L31" i="10"/>
  <c r="L12" i="4" s="1"/>
  <c r="K31" i="10"/>
  <c r="K12" i="4" s="1"/>
  <c r="J31" i="10"/>
  <c r="J12" i="4" s="1"/>
  <c r="I31" i="10"/>
  <c r="I12" i="4" s="1"/>
  <c r="H31" i="10"/>
  <c r="H12" i="4" s="1"/>
  <c r="G31" i="10"/>
  <c r="F31" i="10"/>
  <c r="F12" i="4" s="1"/>
  <c r="E31" i="10"/>
  <c r="E12" i="4" s="1"/>
  <c r="D31" i="10"/>
  <c r="D12" i="4" s="1"/>
  <c r="S30" i="10"/>
  <c r="U30" i="10" s="1"/>
  <c r="R30" i="10"/>
  <c r="S29" i="10"/>
  <c r="U29" i="10" s="1"/>
  <c r="R29" i="10"/>
  <c r="S28" i="10"/>
  <c r="U28" i="10" s="1"/>
  <c r="R28" i="10"/>
  <c r="S27" i="10"/>
  <c r="U27" i="10" s="1"/>
  <c r="R27" i="10"/>
  <c r="S26" i="10"/>
  <c r="U26" i="10" s="1"/>
  <c r="R26" i="10"/>
  <c r="S25" i="10"/>
  <c r="U25" i="10" s="1"/>
  <c r="R25" i="10"/>
  <c r="S24" i="10"/>
  <c r="U24" i="10" s="1"/>
  <c r="R24" i="10"/>
  <c r="S23" i="10"/>
  <c r="U23" i="10" s="1"/>
  <c r="R23" i="10"/>
  <c r="S22" i="10"/>
  <c r="U22" i="10" s="1"/>
  <c r="R22" i="10"/>
  <c r="S21" i="10"/>
  <c r="U21" i="10" s="1"/>
  <c r="R21" i="10"/>
  <c r="S20" i="10"/>
  <c r="U20" i="10" s="1"/>
  <c r="R20" i="10"/>
  <c r="S19" i="10"/>
  <c r="U19" i="10" s="1"/>
  <c r="R19" i="10"/>
  <c r="S18" i="10"/>
  <c r="U18" i="10" s="1"/>
  <c r="R18" i="10"/>
  <c r="S17" i="10"/>
  <c r="U17" i="10" s="1"/>
  <c r="R17" i="10"/>
  <c r="S16" i="10"/>
  <c r="U16" i="10" s="1"/>
  <c r="R16" i="10"/>
  <c r="S15" i="10"/>
  <c r="U15" i="10" s="1"/>
  <c r="R15" i="10"/>
  <c r="S14" i="10"/>
  <c r="U14" i="10" s="1"/>
  <c r="R14" i="10"/>
  <c r="S13" i="10"/>
  <c r="U13" i="10" s="1"/>
  <c r="R13" i="10"/>
  <c r="S12" i="10"/>
  <c r="U12" i="10" s="1"/>
  <c r="R12" i="10"/>
  <c r="S11" i="10"/>
  <c r="U11" i="10" s="1"/>
  <c r="R11" i="10"/>
  <c r="S10" i="10"/>
  <c r="U10" i="10" s="1"/>
  <c r="R10" i="10"/>
  <c r="S9" i="10"/>
  <c r="U9" i="10" s="1"/>
  <c r="R9" i="10"/>
  <c r="S8" i="10"/>
  <c r="U8" i="10" s="1"/>
  <c r="R8" i="10"/>
  <c r="S7" i="10"/>
  <c r="U7" i="10" s="1"/>
  <c r="R7" i="10"/>
  <c r="T31" i="9"/>
  <c r="S11" i="4" s="1"/>
  <c r="Q31" i="9"/>
  <c r="Q11" i="4" s="1"/>
  <c r="P31" i="9"/>
  <c r="O31" i="9"/>
  <c r="O11" i="4" s="1"/>
  <c r="N31" i="9"/>
  <c r="N11" i="4" s="1"/>
  <c r="M31" i="9"/>
  <c r="M11" i="4" s="1"/>
  <c r="L31" i="9"/>
  <c r="L11" i="4" s="1"/>
  <c r="K31" i="9"/>
  <c r="K11" i="4" s="1"/>
  <c r="J31" i="9"/>
  <c r="I31" i="9"/>
  <c r="I11" i="4" s="1"/>
  <c r="H31" i="9"/>
  <c r="H11" i="4" s="1"/>
  <c r="G31" i="9"/>
  <c r="F31" i="9"/>
  <c r="E31" i="9"/>
  <c r="E11" i="4" s="1"/>
  <c r="D31" i="9"/>
  <c r="D11" i="4" s="1"/>
  <c r="S30" i="9"/>
  <c r="U30" i="9" s="1"/>
  <c r="R30" i="9"/>
  <c r="S29" i="9"/>
  <c r="U29" i="9" s="1"/>
  <c r="R29" i="9"/>
  <c r="S28" i="9"/>
  <c r="U28" i="9" s="1"/>
  <c r="R28" i="9"/>
  <c r="S27" i="9"/>
  <c r="U27" i="9" s="1"/>
  <c r="R27" i="9"/>
  <c r="S26" i="9"/>
  <c r="U26" i="9" s="1"/>
  <c r="R26" i="9"/>
  <c r="S25" i="9"/>
  <c r="U25" i="9" s="1"/>
  <c r="R25" i="9"/>
  <c r="S24" i="9"/>
  <c r="U24" i="9" s="1"/>
  <c r="R24" i="9"/>
  <c r="S23" i="9"/>
  <c r="U23" i="9" s="1"/>
  <c r="R23" i="9"/>
  <c r="S22" i="9"/>
  <c r="U22" i="9" s="1"/>
  <c r="R22" i="9"/>
  <c r="S21" i="9"/>
  <c r="U21" i="9" s="1"/>
  <c r="R21" i="9"/>
  <c r="S20" i="9"/>
  <c r="U20" i="9" s="1"/>
  <c r="R20" i="9"/>
  <c r="S19" i="9"/>
  <c r="U19" i="9" s="1"/>
  <c r="R19" i="9"/>
  <c r="S18" i="9"/>
  <c r="U18" i="9" s="1"/>
  <c r="R18" i="9"/>
  <c r="S17" i="9"/>
  <c r="U17" i="9" s="1"/>
  <c r="R17" i="9"/>
  <c r="S16" i="9"/>
  <c r="U16" i="9" s="1"/>
  <c r="R16" i="9"/>
  <c r="S15" i="9"/>
  <c r="U15" i="9" s="1"/>
  <c r="R15" i="9"/>
  <c r="S14" i="9"/>
  <c r="U14" i="9" s="1"/>
  <c r="R14" i="9"/>
  <c r="S13" i="9"/>
  <c r="U13" i="9" s="1"/>
  <c r="R13" i="9"/>
  <c r="S12" i="9"/>
  <c r="U12" i="9" s="1"/>
  <c r="R12" i="9"/>
  <c r="S11" i="9"/>
  <c r="U11" i="9" s="1"/>
  <c r="R11" i="9"/>
  <c r="S10" i="9"/>
  <c r="U10" i="9" s="1"/>
  <c r="R10" i="9"/>
  <c r="S9" i="9"/>
  <c r="U9" i="9" s="1"/>
  <c r="R9" i="9"/>
  <c r="S8" i="9"/>
  <c r="U8" i="9" s="1"/>
  <c r="R8" i="9"/>
  <c r="S7" i="9"/>
  <c r="U7" i="9" s="1"/>
  <c r="R7" i="9"/>
  <c r="Q31" i="8"/>
  <c r="Q10" i="4" s="1"/>
  <c r="P31" i="8"/>
  <c r="P10" i="4" s="1"/>
  <c r="O31" i="8"/>
  <c r="O10" i="4" s="1"/>
  <c r="N31" i="8"/>
  <c r="N10" i="4" s="1"/>
  <c r="M31" i="8"/>
  <c r="M10" i="4" s="1"/>
  <c r="L31" i="8"/>
  <c r="L10" i="4" s="1"/>
  <c r="K31" i="8"/>
  <c r="K10" i="4" s="1"/>
  <c r="J31" i="8"/>
  <c r="J10" i="4" s="1"/>
  <c r="I31" i="8"/>
  <c r="I10" i="4" s="1"/>
  <c r="H31" i="8"/>
  <c r="H10" i="4" s="1"/>
  <c r="G31" i="8"/>
  <c r="G10" i="4" s="1"/>
  <c r="F31" i="8"/>
  <c r="F10" i="4" s="1"/>
  <c r="E31" i="8"/>
  <c r="E10" i="4" s="1"/>
  <c r="D31" i="8"/>
  <c r="D10" i="4" s="1"/>
  <c r="I30" i="7"/>
  <c r="I9" i="4" s="1"/>
  <c r="Q30" i="7"/>
  <c r="Q9" i="4" s="1"/>
  <c r="P30" i="7"/>
  <c r="P9" i="4" s="1"/>
  <c r="O30" i="7"/>
  <c r="O9" i="4" s="1"/>
  <c r="N30" i="7"/>
  <c r="N9" i="4" s="1"/>
  <c r="M30" i="7"/>
  <c r="M9" i="4" s="1"/>
  <c r="L30" i="7"/>
  <c r="L9" i="4" s="1"/>
  <c r="K30" i="7"/>
  <c r="K9" i="4" s="1"/>
  <c r="J30" i="7"/>
  <c r="J9" i="4" s="1"/>
  <c r="H30" i="7"/>
  <c r="H9" i="4" s="1"/>
  <c r="G30" i="7"/>
  <c r="G9" i="4" s="1"/>
  <c r="F30" i="7"/>
  <c r="F9" i="4" s="1"/>
  <c r="E30" i="7"/>
  <c r="E9" i="4" s="1"/>
  <c r="D30" i="7"/>
  <c r="D9" i="4" s="1"/>
  <c r="Q31" i="6"/>
  <c r="Q8" i="4" s="1"/>
  <c r="P31" i="6"/>
  <c r="P8" i="4" s="1"/>
  <c r="O31" i="6"/>
  <c r="O8" i="4" s="1"/>
  <c r="N31" i="6"/>
  <c r="N8" i="4" s="1"/>
  <c r="M31" i="6"/>
  <c r="M8" i="4" s="1"/>
  <c r="L31" i="6"/>
  <c r="L8" i="4" s="1"/>
  <c r="K31" i="6"/>
  <c r="K8" i="4" s="1"/>
  <c r="J31" i="6"/>
  <c r="J8" i="4" s="1"/>
  <c r="I31" i="6"/>
  <c r="I8" i="4" s="1"/>
  <c r="H31" i="6"/>
  <c r="H8" i="4" s="1"/>
  <c r="G31" i="6"/>
  <c r="G8" i="4" s="1"/>
  <c r="F31" i="6"/>
  <c r="F8" i="4" s="1"/>
  <c r="E31" i="6"/>
  <c r="E8" i="4" s="1"/>
  <c r="D31" i="6"/>
  <c r="D8" i="4" s="1"/>
  <c r="O31" i="5"/>
  <c r="O7" i="4" s="1"/>
  <c r="Q31" i="5"/>
  <c r="Q7" i="4" s="1"/>
  <c r="P31" i="5"/>
  <c r="P7" i="4" s="1"/>
  <c r="N31" i="5"/>
  <c r="N7" i="4" s="1"/>
  <c r="M31" i="5"/>
  <c r="M7" i="4" s="1"/>
  <c r="L31" i="5"/>
  <c r="L7" i="4" s="1"/>
  <c r="K31" i="5"/>
  <c r="K7" i="4" s="1"/>
  <c r="J31" i="5"/>
  <c r="J7" i="4" s="1"/>
  <c r="I31" i="5"/>
  <c r="I7" i="4" s="1"/>
  <c r="H31" i="5"/>
  <c r="H7" i="4" s="1"/>
  <c r="G31" i="5"/>
  <c r="G7" i="4" s="1"/>
  <c r="F31" i="5"/>
  <c r="F7" i="4" s="1"/>
  <c r="E31" i="5"/>
  <c r="E7" i="4" s="1"/>
  <c r="D31" i="5"/>
  <c r="D7" i="4" s="1"/>
  <c r="R31" i="9" l="1"/>
  <c r="S31" i="9"/>
  <c r="R7" i="4"/>
  <c r="R8" i="4"/>
  <c r="R9" i="4"/>
  <c r="R58" i="13"/>
  <c r="G14" i="4"/>
  <c r="R31" i="6"/>
  <c r="S31" i="10"/>
  <c r="G11" i="4"/>
  <c r="R31" i="10"/>
  <c r="P11" i="4"/>
  <c r="G12" i="4"/>
  <c r="S58" i="11"/>
  <c r="R58" i="11"/>
  <c r="T31" i="8"/>
  <c r="S10" i="4" s="1"/>
  <c r="S31" i="8"/>
  <c r="R31" i="8"/>
  <c r="S30" i="8"/>
  <c r="U30" i="8" s="1"/>
  <c r="R30" i="8"/>
  <c r="S29" i="8"/>
  <c r="U29" i="8" s="1"/>
  <c r="R29" i="8"/>
  <c r="S28" i="8"/>
  <c r="U28" i="8" s="1"/>
  <c r="R28" i="8"/>
  <c r="S27" i="8"/>
  <c r="U27" i="8" s="1"/>
  <c r="R27" i="8"/>
  <c r="S26" i="8"/>
  <c r="U26" i="8" s="1"/>
  <c r="R26" i="8"/>
  <c r="S25" i="8"/>
  <c r="U25" i="8" s="1"/>
  <c r="R25" i="8"/>
  <c r="S24" i="8"/>
  <c r="U24" i="8" s="1"/>
  <c r="R24" i="8"/>
  <c r="S23" i="8"/>
  <c r="U23" i="8" s="1"/>
  <c r="R23" i="8"/>
  <c r="S22" i="8"/>
  <c r="U22" i="8" s="1"/>
  <c r="R22" i="8"/>
  <c r="S21" i="8"/>
  <c r="U21" i="8" s="1"/>
  <c r="R21" i="8"/>
  <c r="S20" i="8"/>
  <c r="U20" i="8" s="1"/>
  <c r="R20" i="8"/>
  <c r="S19" i="8"/>
  <c r="U19" i="8" s="1"/>
  <c r="R19" i="8"/>
  <c r="S18" i="8"/>
  <c r="U18" i="8" s="1"/>
  <c r="R18" i="8"/>
  <c r="S17" i="8"/>
  <c r="U17" i="8" s="1"/>
  <c r="R17" i="8"/>
  <c r="S16" i="8"/>
  <c r="U16" i="8" s="1"/>
  <c r="R16" i="8"/>
  <c r="S15" i="8"/>
  <c r="U15" i="8" s="1"/>
  <c r="R15" i="8"/>
  <c r="S14" i="8"/>
  <c r="U14" i="8" s="1"/>
  <c r="R14" i="8"/>
  <c r="S13" i="8"/>
  <c r="U13" i="8" s="1"/>
  <c r="R13" i="8"/>
  <c r="S12" i="8"/>
  <c r="U12" i="8" s="1"/>
  <c r="R12" i="8"/>
  <c r="S11" i="8"/>
  <c r="U11" i="8" s="1"/>
  <c r="R11" i="8"/>
  <c r="S10" i="8"/>
  <c r="U10" i="8" s="1"/>
  <c r="R10" i="8"/>
  <c r="S9" i="8"/>
  <c r="U9" i="8" s="1"/>
  <c r="R9" i="8"/>
  <c r="S8" i="8"/>
  <c r="U8" i="8" s="1"/>
  <c r="R8" i="8"/>
  <c r="S7" i="8"/>
  <c r="U7" i="8" s="1"/>
  <c r="R7" i="8"/>
  <c r="T30" i="7"/>
  <c r="S9" i="4" s="1"/>
  <c r="S30" i="7"/>
  <c r="R30" i="7"/>
  <c r="S29" i="7"/>
  <c r="U29" i="7" s="1"/>
  <c r="R29" i="7"/>
  <c r="S28" i="7"/>
  <c r="U28" i="7" s="1"/>
  <c r="R28" i="7"/>
  <c r="S27" i="7"/>
  <c r="U27" i="7" s="1"/>
  <c r="R27" i="7"/>
  <c r="S26" i="7"/>
  <c r="U26" i="7" s="1"/>
  <c r="R26" i="7"/>
  <c r="S25" i="7"/>
  <c r="U25" i="7" s="1"/>
  <c r="R25" i="7"/>
  <c r="S24" i="7"/>
  <c r="U24" i="7" s="1"/>
  <c r="R24" i="7"/>
  <c r="S23" i="7"/>
  <c r="U23" i="7" s="1"/>
  <c r="R23" i="7"/>
  <c r="S22" i="7"/>
  <c r="U22" i="7" s="1"/>
  <c r="R22" i="7"/>
  <c r="S21" i="7"/>
  <c r="U21" i="7" s="1"/>
  <c r="R21" i="7"/>
  <c r="S20" i="7"/>
  <c r="U20" i="7" s="1"/>
  <c r="R20" i="7"/>
  <c r="S19" i="7"/>
  <c r="U19" i="7" s="1"/>
  <c r="R19" i="7"/>
  <c r="S18" i="7"/>
  <c r="U18" i="7" s="1"/>
  <c r="R18" i="7"/>
  <c r="S17" i="7"/>
  <c r="U17" i="7" s="1"/>
  <c r="R17" i="7"/>
  <c r="S16" i="7"/>
  <c r="U16" i="7" s="1"/>
  <c r="R16" i="7"/>
  <c r="S15" i="7"/>
  <c r="U15" i="7" s="1"/>
  <c r="R15" i="7"/>
  <c r="S14" i="7"/>
  <c r="U14" i="7" s="1"/>
  <c r="R14" i="7"/>
  <c r="S13" i="7"/>
  <c r="U13" i="7" s="1"/>
  <c r="R13" i="7"/>
  <c r="S12" i="7"/>
  <c r="U12" i="7" s="1"/>
  <c r="R12" i="7"/>
  <c r="S11" i="7"/>
  <c r="U11" i="7" s="1"/>
  <c r="R11" i="7"/>
  <c r="S10" i="7"/>
  <c r="U10" i="7" s="1"/>
  <c r="R10" i="7"/>
  <c r="S9" i="7"/>
  <c r="U9" i="7" s="1"/>
  <c r="R9" i="7"/>
  <c r="S8" i="7"/>
  <c r="U8" i="7" s="1"/>
  <c r="R8" i="7"/>
  <c r="S7" i="7"/>
  <c r="U7" i="7" s="1"/>
  <c r="R7" i="7"/>
  <c r="T31" i="6"/>
  <c r="S8" i="4" s="1"/>
  <c r="S31" i="6"/>
  <c r="S30" i="6"/>
  <c r="U30" i="6" s="1"/>
  <c r="R30" i="6"/>
  <c r="S29" i="6"/>
  <c r="U29" i="6" s="1"/>
  <c r="R29" i="6"/>
  <c r="S28" i="6"/>
  <c r="U28" i="6" s="1"/>
  <c r="R28" i="6"/>
  <c r="S27" i="6"/>
  <c r="U27" i="6" s="1"/>
  <c r="R27" i="6"/>
  <c r="S26" i="6"/>
  <c r="U26" i="6" s="1"/>
  <c r="R26" i="6"/>
  <c r="S25" i="6"/>
  <c r="U25" i="6" s="1"/>
  <c r="R25" i="6"/>
  <c r="S24" i="6"/>
  <c r="U24" i="6" s="1"/>
  <c r="R24" i="6"/>
  <c r="S23" i="6"/>
  <c r="U23" i="6" s="1"/>
  <c r="R23" i="6"/>
  <c r="S22" i="6"/>
  <c r="U22" i="6" s="1"/>
  <c r="R22" i="6"/>
  <c r="U21" i="6"/>
  <c r="S21" i="6"/>
  <c r="R21" i="6"/>
  <c r="S20" i="6"/>
  <c r="U20" i="6" s="1"/>
  <c r="R20" i="6"/>
  <c r="S19" i="6"/>
  <c r="U19" i="6" s="1"/>
  <c r="R19" i="6"/>
  <c r="S18" i="6"/>
  <c r="U18" i="6" s="1"/>
  <c r="R18" i="6"/>
  <c r="S17" i="6"/>
  <c r="U17" i="6" s="1"/>
  <c r="R17" i="6"/>
  <c r="S16" i="6"/>
  <c r="U16" i="6" s="1"/>
  <c r="R16" i="6"/>
  <c r="S15" i="6"/>
  <c r="U15" i="6" s="1"/>
  <c r="R15" i="6"/>
  <c r="S14" i="6"/>
  <c r="U14" i="6" s="1"/>
  <c r="R14" i="6"/>
  <c r="S13" i="6"/>
  <c r="U13" i="6" s="1"/>
  <c r="R13" i="6"/>
  <c r="S12" i="6"/>
  <c r="U12" i="6" s="1"/>
  <c r="R12" i="6"/>
  <c r="S11" i="6"/>
  <c r="U11" i="6" s="1"/>
  <c r="R11" i="6"/>
  <c r="S10" i="6"/>
  <c r="U10" i="6" s="1"/>
  <c r="R10" i="6"/>
  <c r="S9" i="6"/>
  <c r="U9" i="6" s="1"/>
  <c r="R9" i="6"/>
  <c r="S8" i="6"/>
  <c r="U8" i="6" s="1"/>
  <c r="R8" i="6"/>
  <c r="S7" i="6"/>
  <c r="U7" i="6" s="1"/>
  <c r="R7" i="6"/>
  <c r="R31" i="5"/>
  <c r="R33" i="10" s="1"/>
  <c r="S31" i="5"/>
  <c r="T31" i="5"/>
  <c r="S7" i="4" s="1"/>
  <c r="T7" i="4" l="1"/>
  <c r="R60" i="13"/>
  <c r="R60" i="11"/>
  <c r="R33" i="9"/>
  <c r="S30" i="5"/>
  <c r="U30" i="5" s="1"/>
  <c r="S29" i="5"/>
  <c r="U29" i="5" s="1"/>
  <c r="S28" i="5"/>
  <c r="U28" i="5" s="1"/>
  <c r="S27" i="5"/>
  <c r="U27" i="5" s="1"/>
  <c r="S26" i="5"/>
  <c r="U26" i="5" s="1"/>
  <c r="S25" i="5"/>
  <c r="U25" i="5" s="1"/>
  <c r="S24" i="5"/>
  <c r="U24" i="5" s="1"/>
  <c r="S23" i="5"/>
  <c r="U23" i="5" s="1"/>
  <c r="S22" i="5"/>
  <c r="U22" i="5" s="1"/>
  <c r="S21" i="5"/>
  <c r="U21" i="5" s="1"/>
  <c r="S20" i="5"/>
  <c r="U20" i="5" s="1"/>
  <c r="S19" i="5"/>
  <c r="U19" i="5" s="1"/>
  <c r="S18" i="5"/>
  <c r="U18" i="5" s="1"/>
  <c r="S17" i="5"/>
  <c r="U17" i="5" s="1"/>
  <c r="S16" i="5"/>
  <c r="U16" i="5" s="1"/>
  <c r="S15" i="5"/>
  <c r="U15" i="5" s="1"/>
  <c r="S14" i="5"/>
  <c r="U14" i="5" s="1"/>
  <c r="S13" i="5"/>
  <c r="U13" i="5" s="1"/>
  <c r="S12" i="5"/>
  <c r="U12" i="5" s="1"/>
  <c r="S11" i="5"/>
  <c r="U11" i="5" s="1"/>
  <c r="S10" i="5"/>
  <c r="U10" i="5" s="1"/>
  <c r="S9" i="5"/>
  <c r="U9" i="5" s="1"/>
  <c r="S8" i="5"/>
  <c r="U8" i="5" s="1"/>
  <c r="S7" i="5"/>
  <c r="U7" i="5" s="1"/>
  <c r="R16" i="5"/>
  <c r="R17" i="5"/>
  <c r="R18" i="5"/>
  <c r="R19" i="5"/>
  <c r="R20" i="5"/>
  <c r="R21" i="5"/>
  <c r="R22" i="5"/>
  <c r="R23" i="5"/>
  <c r="R24" i="5"/>
  <c r="R25" i="5"/>
  <c r="R26" i="5"/>
  <c r="R27" i="5"/>
  <c r="R28" i="5"/>
  <c r="R29" i="5"/>
  <c r="R30" i="5"/>
  <c r="U58" i="13" l="1"/>
  <c r="U31" i="9"/>
  <c r="U31" i="10"/>
  <c r="U58" i="11"/>
  <c r="U30" i="7"/>
  <c r="U31" i="6"/>
  <c r="U31" i="5"/>
  <c r="U31" i="8"/>
  <c r="S26" i="4"/>
  <c r="Q26" i="4"/>
  <c r="O26" i="4"/>
  <c r="M26" i="4"/>
  <c r="K26" i="4"/>
  <c r="I26" i="4"/>
  <c r="G26" i="4"/>
  <c r="E26" i="4"/>
  <c r="R25" i="4"/>
  <c r="T25" i="4" s="1"/>
  <c r="R24" i="4"/>
  <c r="T24" i="4" s="1"/>
  <c r="R23" i="4"/>
  <c r="T23" i="4" s="1"/>
  <c r="R22" i="4"/>
  <c r="T22" i="4" s="1"/>
  <c r="R21" i="4"/>
  <c r="R26" i="4" l="1"/>
  <c r="T21" i="4"/>
  <c r="T26" i="4"/>
  <c r="T18" i="4"/>
  <c r="S18" i="4"/>
  <c r="S16" i="4" l="1"/>
  <c r="R33" i="8" l="1"/>
  <c r="R33" i="6"/>
  <c r="R32" i="7"/>
  <c r="R14" i="4"/>
  <c r="T14" i="4" s="1"/>
  <c r="R33" i="5"/>
  <c r="I16" i="4"/>
  <c r="I17" i="2"/>
  <c r="J17" i="2" s="1"/>
  <c r="I8" i="2"/>
  <c r="I9" i="2"/>
  <c r="K9" i="2" s="1"/>
  <c r="I10" i="2"/>
  <c r="K10" i="2" s="1"/>
  <c r="I12" i="2"/>
  <c r="K12" i="2" s="1"/>
  <c r="I13" i="2"/>
  <c r="K13" i="2" s="1"/>
  <c r="I14" i="2"/>
  <c r="K14" i="2" s="1"/>
  <c r="I15" i="2"/>
  <c r="K15" i="2" s="1"/>
  <c r="I16" i="2"/>
  <c r="K16" i="2" s="1"/>
  <c r="F231" i="1"/>
  <c r="F228" i="1"/>
  <c r="F225" i="1"/>
  <c r="F224" i="1"/>
  <c r="F223" i="1"/>
  <c r="F222" i="1"/>
  <c r="F221" i="1"/>
  <c r="F220" i="1"/>
  <c r="F219" i="1"/>
  <c r="F218" i="1"/>
  <c r="F217" i="1"/>
  <c r="F213" i="1"/>
  <c r="F212" i="1"/>
  <c r="F211" i="1"/>
  <c r="F210" i="1"/>
  <c r="F209" i="1"/>
  <c r="F205" i="1"/>
  <c r="F204" i="1"/>
  <c r="F203" i="1"/>
  <c r="F202" i="1"/>
  <c r="F201" i="1"/>
  <c r="F200" i="1"/>
  <c r="F199" i="1"/>
  <c r="F198" i="1"/>
  <c r="F197" i="1"/>
  <c r="F196" i="1"/>
  <c r="F195" i="1"/>
  <c r="F194" i="1"/>
  <c r="F193" i="1"/>
  <c r="F192" i="1"/>
  <c r="F191" i="1"/>
  <c r="F190" i="1"/>
  <c r="F189" i="1"/>
  <c r="F188" i="1"/>
  <c r="F187" i="1"/>
  <c r="F186" i="1"/>
  <c r="F182" i="1"/>
  <c r="F181" i="1"/>
  <c r="F180" i="1"/>
  <c r="F179" i="1"/>
  <c r="F178" i="1"/>
  <c r="F177" i="1"/>
  <c r="F173" i="1"/>
  <c r="F172" i="1"/>
  <c r="F171" i="1"/>
  <c r="F170" i="1"/>
  <c r="F169" i="1"/>
  <c r="F167" i="1"/>
  <c r="F166" i="1"/>
  <c r="F165" i="1"/>
  <c r="F164" i="1"/>
  <c r="F160" i="1"/>
  <c r="F159" i="1"/>
  <c r="F158" i="1"/>
  <c r="F157" i="1"/>
  <c r="F156" i="1"/>
  <c r="F155" i="1"/>
  <c r="F154" i="1"/>
  <c r="F153" i="1"/>
  <c r="F152" i="1"/>
  <c r="F151" i="1"/>
  <c r="F150" i="1"/>
  <c r="F149" i="1"/>
  <c r="F148" i="1"/>
  <c r="F147" i="1"/>
  <c r="F146" i="1"/>
  <c r="F142" i="1"/>
  <c r="F141" i="1"/>
  <c r="F140" i="1"/>
  <c r="F139" i="1"/>
  <c r="F138" i="1"/>
  <c r="F137" i="1"/>
  <c r="F136" i="1"/>
  <c r="F135" i="1"/>
  <c r="F134" i="1"/>
  <c r="F133" i="1"/>
  <c r="F129" i="1"/>
  <c r="F128" i="1"/>
  <c r="F127" i="1"/>
  <c r="F126" i="1"/>
  <c r="F125"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6" i="1"/>
  <c r="F15" i="1"/>
  <c r="F13" i="1"/>
  <c r="F12" i="1"/>
  <c r="F11" i="1"/>
  <c r="F7" i="1"/>
  <c r="R13" i="4" l="1"/>
  <c r="R12" i="4"/>
  <c r="T12" i="4" s="1"/>
  <c r="R11" i="4"/>
  <c r="T11" i="4" s="1"/>
  <c r="R10" i="4"/>
  <c r="T10" i="4" s="1"/>
  <c r="T9" i="4"/>
  <c r="F242" i="1"/>
  <c r="M16" i="4"/>
  <c r="E16" i="4"/>
  <c r="O16" i="4"/>
  <c r="K16" i="4"/>
  <c r="G16" i="4"/>
  <c r="Q16" i="4"/>
  <c r="F59" i="1"/>
  <c r="K17" i="2"/>
  <c r="J12" i="2"/>
  <c r="J16" i="2"/>
  <c r="J15" i="2"/>
  <c r="J14" i="2"/>
  <c r="J13" i="2"/>
  <c r="J10" i="2"/>
  <c r="J9" i="2"/>
  <c r="K8" i="2"/>
  <c r="K18" i="2" s="1"/>
  <c r="J8" i="2"/>
  <c r="F161" i="1"/>
  <c r="F94" i="1"/>
  <c r="F174" i="1"/>
  <c r="F8" i="1"/>
  <c r="F143" i="1"/>
  <c r="F206" i="1"/>
  <c r="F17" i="1"/>
  <c r="F130" i="1"/>
  <c r="F226" i="1"/>
  <c r="R16" i="4" l="1"/>
  <c r="T13" i="4"/>
  <c r="T8" i="4"/>
  <c r="F244" i="1"/>
  <c r="F243" i="1"/>
  <c r="T16" i="4" l="1"/>
</calcChain>
</file>

<file path=xl/sharedStrings.xml><?xml version="1.0" encoding="utf-8"?>
<sst xmlns="http://schemas.openxmlformats.org/spreadsheetml/2006/main" count="1070" uniqueCount="456">
  <si>
    <t>DETAILS QUANTITATIFS ET ESTIMATIFS (DQE) DU LOT 1</t>
  </si>
  <si>
    <t>Site 01: Station de traitement des boues de vidange de la ville Abidjan Ouest (Songon)</t>
  </si>
  <si>
    <t>N° PRIX</t>
  </si>
  <si>
    <t>DESIGNATION</t>
  </si>
  <si>
    <t>UNITE</t>
  </si>
  <si>
    <t>QUANTITE</t>
  </si>
  <si>
    <t>PRIX UNITAIRE (FCFA)</t>
  </si>
  <si>
    <t>PRIX TOTAL (FCFA)</t>
  </si>
  <si>
    <t>SECTION 000</t>
  </si>
  <si>
    <t>INSTALLATION GENERALE DE CHANTIER</t>
  </si>
  <si>
    <t>000.1</t>
  </si>
  <si>
    <t>Installation générale de chantier et des services généraux de l'entreprise, y compris amenée et replis du matériel</t>
  </si>
  <si>
    <t>fft</t>
  </si>
  <si>
    <t>Sous total 000</t>
  </si>
  <si>
    <t>SECTION 100</t>
  </si>
  <si>
    <t xml:space="preserve">TERRASSEMENTS GENERAUX  </t>
  </si>
  <si>
    <t>100.1</t>
  </si>
  <si>
    <t>Débroussement mécanique</t>
  </si>
  <si>
    <t>100.1.1</t>
  </si>
  <si>
    <t>Débroussement mécanique y compris abattage d'arbre</t>
  </si>
  <si>
    <r>
      <t>m</t>
    </r>
    <r>
      <rPr>
        <vertAlign val="superscript"/>
        <sz val="10"/>
        <color theme="1"/>
        <rFont val="Arial"/>
        <family val="2"/>
      </rPr>
      <t>2</t>
    </r>
  </si>
  <si>
    <t>100.1.2</t>
  </si>
  <si>
    <t>Enlèvement d'ordures et mise en décharge de tout genre</t>
  </si>
  <si>
    <r>
      <t>m</t>
    </r>
    <r>
      <rPr>
        <vertAlign val="superscript"/>
        <sz val="10"/>
        <color theme="1"/>
        <rFont val="Arial"/>
        <family val="2"/>
      </rPr>
      <t>3</t>
    </r>
  </si>
  <si>
    <t>100.2.3</t>
  </si>
  <si>
    <t>Décapage de terre végétale sur 0,2 m en moyenne</t>
  </si>
  <si>
    <t>100.2</t>
  </si>
  <si>
    <t xml:space="preserve">Démolition </t>
  </si>
  <si>
    <t>100.2.1</t>
  </si>
  <si>
    <t>Démolition de constructions existantes en maçonnerie</t>
  </si>
  <si>
    <t>100.2.2</t>
  </si>
  <si>
    <t>Démolition d'ouvrages en béton armé</t>
  </si>
  <si>
    <t>Sous total 100</t>
  </si>
  <si>
    <t>SECTION 200</t>
  </si>
  <si>
    <t xml:space="preserve"> AIRE DE DEPOTAGE, OUVRAGES DE RECEPTION ET DE PRETRAITEMENT</t>
  </si>
  <si>
    <t>200.1</t>
  </si>
  <si>
    <t>Aire de dépotage y compris muret d'arrêt des camions</t>
  </si>
  <si>
    <t>200.1.1</t>
  </si>
  <si>
    <t xml:space="preserve">Déblais en terrain de toute nature, mise en dépôt et évacuation des déblais excédentaires </t>
  </si>
  <si>
    <t>200.1.2</t>
  </si>
  <si>
    <t>Remblais provenant de déblais</t>
  </si>
  <si>
    <t>200.1.3</t>
  </si>
  <si>
    <t xml:space="preserve">Béton de propreté C 150 </t>
  </si>
  <si>
    <t>200.1.4</t>
  </si>
  <si>
    <t>Béton de qualité Q 350 au ciment CPA</t>
  </si>
  <si>
    <t>200.1.5</t>
  </si>
  <si>
    <t xml:space="preserve">Coffrages plans ordinaires </t>
  </si>
  <si>
    <t>200.1.6</t>
  </si>
  <si>
    <t>Aciers à haute adhérence</t>
  </si>
  <si>
    <t>kg</t>
  </si>
  <si>
    <t>200.2</t>
  </si>
  <si>
    <t>Ouvrages de dépotage et bac d'observation</t>
  </si>
  <si>
    <t>Déblais en terrain de toute nature, mise en dépôt et évacuation des déblais excédentaires</t>
  </si>
  <si>
    <t>Coffrages plans ordinaires</t>
  </si>
  <si>
    <t>200.3</t>
  </si>
  <si>
    <t>Canal dégrilleur + dallage au droit des ouvrages +muret</t>
  </si>
  <si>
    <t>200.4</t>
  </si>
  <si>
    <t>Canal dessableur</t>
  </si>
  <si>
    <t xml:space="preserve">Béton de propreté  C 150 </t>
  </si>
  <si>
    <t>200.5</t>
  </si>
  <si>
    <t>Canal répartiteur</t>
  </si>
  <si>
    <t>200.6</t>
  </si>
  <si>
    <t>Equipements</t>
  </si>
  <si>
    <t>200.6.1</t>
  </si>
  <si>
    <t>Fourniture et pose d'un Bac d'égouttage des refus de dégrillage  à 4 roues de  capacité 1000 l au niveau des ouvrages dégrilleurs</t>
  </si>
  <si>
    <t>U</t>
  </si>
  <si>
    <t>200.6.2</t>
  </si>
  <si>
    <t>Fourniture et pose d'un dégrilleur manuel en inox barre de Ø8 mm espacé de 5 cm, de largeur 50 cm et de hauteur 70 cm y compris cornière</t>
  </si>
  <si>
    <t>200.6.3</t>
  </si>
  <si>
    <t>Fourniture et pose de batardeau en inox de largeur 50 cm et de hauteur 50 cm y compris cornière y compris cornière</t>
  </si>
  <si>
    <t>200.6.4</t>
  </si>
  <si>
    <t>Fourniture et pose d'un dégrilleur manuel en inox barre de Ø10 mm espacé de 10 cm, de largeur 90 cm et de hauteur 70 cm y compris cornière</t>
  </si>
  <si>
    <t>Sous total 200</t>
  </si>
  <si>
    <t>SECTION 300</t>
  </si>
  <si>
    <t>LITS DE SECHAGE</t>
  </si>
  <si>
    <t>300.1</t>
  </si>
  <si>
    <t>Terrassement généraux</t>
  </si>
  <si>
    <t>300.1.3</t>
  </si>
  <si>
    <t xml:space="preserve">Remblais provenant d'emprunts </t>
  </si>
  <si>
    <t>300.2</t>
  </si>
  <si>
    <t>Génie-Civil des lits de séchage y compris rampes d'accès</t>
  </si>
  <si>
    <t>200.1.8</t>
  </si>
  <si>
    <t>Coffrages soignée</t>
  </si>
  <si>
    <t>300.2.1</t>
  </si>
  <si>
    <t>Badigeonnage des parements enterrés</t>
  </si>
  <si>
    <t>300.3</t>
  </si>
  <si>
    <t>Canalisations et regards</t>
  </si>
  <si>
    <t>300.3.1</t>
  </si>
  <si>
    <t>Fouille en tranchée y compris mise en œuvre de sable pour lit de pose de canalisation, remblais de fouilles et évacuation des déblais excédentaires</t>
  </si>
  <si>
    <t>ml</t>
  </si>
  <si>
    <t>300.3.2</t>
  </si>
  <si>
    <t>Fourniture et pose de tuyau d'évacuation en PVC DE 110 mm perforé type assainissement</t>
  </si>
  <si>
    <t>300.3.3</t>
  </si>
  <si>
    <t>Fourniture et pose de tuyau d'évacuation en PVC DE 200 mm perforé type assainissement</t>
  </si>
  <si>
    <t>300.3.4</t>
  </si>
  <si>
    <t>Fourniture et pose de tuyau d'évacuation en PVC DE 200 mm type assainissement</t>
  </si>
  <si>
    <t>300.3.5,1</t>
  </si>
  <si>
    <t>Fourniture et pose de coude 90° PVC DN 200 type assainissement</t>
  </si>
  <si>
    <t>300.3.5,2</t>
  </si>
  <si>
    <t>Fourniture et pose de coude 45° PVC DN 110 type assainissement</t>
  </si>
  <si>
    <t>300.3.6</t>
  </si>
  <si>
    <t>Fourniture et pose de té réduit en PVC DE 200/110 type assainissement</t>
  </si>
  <si>
    <t>300.3.7</t>
  </si>
  <si>
    <t>Construction de regards de visite 100x100, en béton armé dosé à 350 kg/m3 de ciment CPA, profondeur moyenne 1,5 m, y compris échelons en fonte ductile.</t>
  </si>
  <si>
    <t>300.3.8</t>
  </si>
  <si>
    <t>Construction de regards de visite 100x100, en béton armé dosé à 350 kg/m3 de ciment CPA, profondeur comprise entre ]1,5 m et 2 m], y compris échelons en fonte ductile.</t>
  </si>
  <si>
    <t>300.3.9</t>
  </si>
  <si>
    <t>Construction de regards de visite 100x100, en béton armé dosé à 350 kg/m3 de ciment CPA, profondeur comprise entre ]2 m et 3 m], y compris échelons en fonte ductile.</t>
  </si>
  <si>
    <t>300.3.10</t>
  </si>
  <si>
    <t>Construction de regards de visite 150x100, en béton armé dosé à 350 kg/m3 de ciment CPA, profondeur comprise entre ]3 m et 5m], y compris échelons en fonte ductile</t>
  </si>
  <si>
    <t>300.3.11</t>
  </si>
  <si>
    <t>Fourniture et pose de tampons en fonte ductile sur regards</t>
  </si>
  <si>
    <t>300.3.12</t>
  </si>
  <si>
    <t>Fourniture et pose d'une Vanne murale en acier inoxydable DN 200 y compris cornière</t>
  </si>
  <si>
    <t>300.3.13</t>
  </si>
  <si>
    <t>Fourniture et pose de dalle de chute en béton 0.80 x 0.80 m au droit de l'alimentation des lits épaisseur 15 cm</t>
  </si>
  <si>
    <t>300.4</t>
  </si>
  <si>
    <t>Couches de filtre</t>
  </si>
  <si>
    <t>300.4.1</t>
  </si>
  <si>
    <t>Fourniture et pose de pavé trief 6 cm</t>
  </si>
  <si>
    <t>300.4.2</t>
  </si>
  <si>
    <t>Sable criblé lavé (2-5 mm), épaisseur 4 cm</t>
  </si>
  <si>
    <t>300.4.3</t>
  </si>
  <si>
    <t>Gravier moyen (5-15 mm), épaisseur 15 cm</t>
  </si>
  <si>
    <t>300.4.4</t>
  </si>
  <si>
    <t>Gravier moyen (15-40 mm), épaisseur 45 cm</t>
  </si>
  <si>
    <t>500.4</t>
  </si>
  <si>
    <t>Couverture</t>
  </si>
  <si>
    <t>500.4.1</t>
  </si>
  <si>
    <t>Fourniture et pose HEA100, tube carré 40x40x 2mm, couverture en Bâche de Protection en PVC Poids 500 g-m² bâche Industrielle Couverture étanche conformément aux plans et spécifications techniques y compris toutes sujétions et aléas,</t>
  </si>
  <si>
    <t>Sous total 300</t>
  </si>
  <si>
    <t>SECTION 400</t>
  </si>
  <si>
    <t>BASSINS DE LAGUNAGES</t>
  </si>
  <si>
    <t>400.1</t>
  </si>
  <si>
    <t>400.2</t>
  </si>
  <si>
    <t>Bassins Anaérobies</t>
  </si>
  <si>
    <t>400.2.1</t>
  </si>
  <si>
    <t>Réglage et compactage du fond des bassins à 95 % de l'Optimum Proctor Normal</t>
  </si>
  <si>
    <t>200.1.7</t>
  </si>
  <si>
    <t>Béton de qualité Q 350 au ciment CHF</t>
  </si>
  <si>
    <t>400.2.2</t>
  </si>
  <si>
    <t>Garde corp en acier galvanisé hauteur 1,5 m</t>
  </si>
  <si>
    <t>400.3</t>
  </si>
  <si>
    <t>Bassins facultatifs 1</t>
  </si>
  <si>
    <r>
      <t>m</t>
    </r>
    <r>
      <rPr>
        <vertAlign val="superscript"/>
        <sz val="10"/>
        <color rgb="FF000000"/>
        <rFont val="Arial"/>
        <family val="2"/>
      </rPr>
      <t>3</t>
    </r>
  </si>
  <si>
    <t>400.4</t>
  </si>
  <si>
    <t>Bassins facultatifs 2</t>
  </si>
  <si>
    <t>400.5</t>
  </si>
  <si>
    <t>Dispositif de rejet</t>
  </si>
  <si>
    <t xml:space="preserve">               -     </t>
  </si>
  <si>
    <t>400.5.1</t>
  </si>
  <si>
    <t>Construction d’un ouvrage de rejet en BA à l’exutoire y compris ouvrage de tête et enrochement</t>
  </si>
  <si>
    <t>Sous total 400</t>
  </si>
  <si>
    <t>SECTION 500</t>
  </si>
  <si>
    <t>AIRE DE SECHAGE</t>
  </si>
  <si>
    <t>500.1</t>
  </si>
  <si>
    <t>500.2</t>
  </si>
  <si>
    <t>Radier de l'aire de séchage</t>
  </si>
  <si>
    <t>Sous total 500</t>
  </si>
  <si>
    <t>SECTION 600</t>
  </si>
  <si>
    <t xml:space="preserve">HANGAR DE STOCKAGE </t>
  </si>
  <si>
    <t>600.1</t>
  </si>
  <si>
    <t>Déblais mis en dépôt</t>
  </si>
  <si>
    <t>600.2</t>
  </si>
  <si>
    <t>Radier de l'hangar de stockage</t>
  </si>
  <si>
    <t>600.3</t>
  </si>
  <si>
    <t>Maçonnerie et ossature en élévation sur 1,2 m</t>
  </si>
  <si>
    <t>600.3.1</t>
  </si>
  <si>
    <t>Maçonnerie en agglos 15 creux</t>
  </si>
  <si>
    <t>600.3.2</t>
  </si>
  <si>
    <t>Enduit sur murs extérieurs</t>
  </si>
  <si>
    <t>600.3.3</t>
  </si>
  <si>
    <t>Enduit sur murs intérieurs</t>
  </si>
  <si>
    <t>600.4</t>
  </si>
  <si>
    <t>Hangars métallique</t>
  </si>
  <si>
    <t>600.4.1</t>
  </si>
  <si>
    <t>Hangar métallique de dimensions 20 m x 10 m, hauteur de rive 3,5 m et hauteur au niveau des pions 4,5 m , constitué de poteaux HEA 100, d'une charpente métallique et d'une toiture en tôle bac en allu-zinc épaisseur 7/10, bardages conformément aux plans et spécifications techniques y compris toutes sujétions et aléas,</t>
  </si>
  <si>
    <t>Sous total 600</t>
  </si>
  <si>
    <t>SECTION 700</t>
  </si>
  <si>
    <t>LOCAL TECHNIQUE, CLOTURE ET TRAVAUX DIVERS</t>
  </si>
  <si>
    <t>700.1</t>
  </si>
  <si>
    <t>Guerite, Bâtiment d'exploitation, Abris de repos</t>
  </si>
  <si>
    <t>700.1.1</t>
  </si>
  <si>
    <t>Construction d'une guerite de 9 m2 avec toiture dalle ep:15 cm, étanchéité de la dalle + enduit, peinture, travaux d'électricité, plomberie, conformément aux plans et spécifications techniques y compris toutes sujétions et aléas,</t>
  </si>
  <si>
    <t>700.1.2</t>
  </si>
  <si>
    <t xml:space="preserve">Construction d'un local technique en agglos, poteaux et poutres en béton armé, couvert de tôle en allu-zinc, comprenant une salle de personnel de dimensions 4,30mx3,25m, un bureau d'enregistrement de dimensions 4,05mx3,50m, une terrasse de dimensions 4,20mx2m, de trois salles d'eau équipée de WC, lavabo, douche avec système d'évacuation des eaux usées fosses septiques pour 20 usagers; y compris revêtement en carreaux de grès cérame, peinture, 07 portes pleines avec serrures à condamnation, 04 fenêtres allu avec anti-vol, travaux de climatisation par l'installation de quatre splits de 1,5 CV, travaux d'électricité, plomberie y compris système de condamnation, conformément aux plans et spécifications techniques </t>
  </si>
  <si>
    <t>700.1.3</t>
  </si>
  <si>
    <t>Construction d'un abris de 9 m2 avec couvert de tôle en allu-zinc, enduit, peinture,  banc, conformément aux plans et spécifications techniques y compris toutes sujétions et aléas,</t>
  </si>
  <si>
    <t>700.1.4</t>
  </si>
  <si>
    <t>Construction deux cabines de WC accolé de 9 m2 avec couvert de tôle en allu-zinc, + sa fosse septique pour 20 usagés, lamelle en béton, enduit, peinture, travaux d'électricité, plomberie, conformément aux plans et spécifications techniques y compris toutes sujétions et aléas,</t>
  </si>
  <si>
    <t>700.2</t>
  </si>
  <si>
    <t>Clôtures et tyrolienne peinture</t>
  </si>
  <si>
    <t>700.2.1</t>
  </si>
  <si>
    <t>Construction d'une clôture de 2,5m de hauteur hors sol en agglos avec des raidisseurs tous les 3m, chaînage bas, chaînage haut et un couronnement en béton armé et crépissage, peinture tyrolienne, barbelés anti-intrusions enroulés, conformément aux plans et spécifications techniques y compris toutes sujétions et aléas,</t>
  </si>
  <si>
    <t>700.2.2</t>
  </si>
  <si>
    <t>Fourniture et pose d'un portail métallique coulissant de section 7mx2,50m, y compris peinture anti-rouille</t>
  </si>
  <si>
    <t>700.2.3</t>
  </si>
  <si>
    <t>Fourniture et pose d'un portillon 100x210 y compris peinture anti-rouille</t>
  </si>
  <si>
    <t>700.2.4</t>
  </si>
  <si>
    <t>Fourniture et installation de quatre Caméras de Surveillance Extérieure, Détection de Personne et Véhicule, Kit Vidéo Surveillance avec 8CH 2To NVR et Caméra IP PoE 4X 8MP, 30 Mètres Vision Nocturne avec Audio, RLK8-800B4</t>
  </si>
  <si>
    <t>Ens</t>
  </si>
  <si>
    <t>700.2.5</t>
  </si>
  <si>
    <t>Fourniture et pose d'une Barrière levante automatique conçue pour un usage semi-intensif. - Moteur 24V.- Lisse section 38 X 70 mm en 3 ou 6 m.- Hauteur sous lisse 835 mm.- Temps d'ouverture 2,5 secondes en 3 m et 4 secondes en 6 m.- Centrale de commande avec écran de programmation et récepteur radio bi-canal incorporé.- Alimentation en 24V permettant d'utilisation du kit solaire (en option).- Capacité 3000 cycles / jour.- Lyre de repos.- Livré en kit complet prêt à l'installation avec 2 télécommandes, lyre de repos, jeu de cellules orientables.- Dim. (mm) : H. 1000 X L. 340 X P. 220.</t>
  </si>
  <si>
    <t>Sous total 700</t>
  </si>
  <si>
    <t>SECTION 800</t>
  </si>
  <si>
    <t>VOIE D'ACCES ET VOIRIE D'EXPLOITATION</t>
  </si>
  <si>
    <t>800.1</t>
  </si>
  <si>
    <t xml:space="preserve"> m³ </t>
  </si>
  <si>
    <t>800.1.1</t>
  </si>
  <si>
    <t>Remblais pour couche de forme</t>
  </si>
  <si>
    <t>m³</t>
  </si>
  <si>
    <t>800.1.2</t>
  </si>
  <si>
    <t>Reprofilage, nivellement et compactage du sol d'assise à 95 % de l'Optimum Proctor Modifié</t>
  </si>
  <si>
    <t>800.1.3</t>
  </si>
  <si>
    <t xml:space="preserve">Engazonnement du site y compris apport de terre végétale </t>
  </si>
  <si>
    <t>800.2</t>
  </si>
  <si>
    <t>Voie d'accès</t>
  </si>
  <si>
    <t>800.2.1</t>
  </si>
  <si>
    <t>Fourniture et mise en œuvre de graveleux latéritique sélectionné sur une épaisseur de 0,30 m, y compris compactage à 95 % de l'Optimum Proctor Modifié et réglage des pentes</t>
  </si>
  <si>
    <t>PM</t>
  </si>
  <si>
    <t>800.2.2</t>
  </si>
  <si>
    <t>Couche de fondation en Sable argileux (Ep = 20 cm)</t>
  </si>
  <si>
    <t>m3</t>
  </si>
  <si>
    <t>800.2.3</t>
  </si>
  <si>
    <t>Couche de fondation en graveleux latéritique GL (Ep = 20 cm)</t>
  </si>
  <si>
    <t>800.2.5</t>
  </si>
  <si>
    <t>Stabilisation de la couche de fondation à 3% de ciment CPA</t>
  </si>
  <si>
    <t>800.2.8</t>
  </si>
  <si>
    <t>Couche de base en Grave Non Traitée 0/31,5 (Ep = 20 cm)</t>
  </si>
  <si>
    <t>800.2.9</t>
  </si>
  <si>
    <t>Exécution de l'imprégnation de la couche de base au cut back 0/1 à 1,200 kg/m²</t>
  </si>
  <si>
    <t>m2</t>
  </si>
  <si>
    <t>800.2.10</t>
  </si>
  <si>
    <t>Couche d'accrochage à l'émulsion de bitume dosé à 450 g/m²</t>
  </si>
  <si>
    <t>800.2.12</t>
  </si>
  <si>
    <t>Béton bitumineux épaisseur 5 cm après compactage, y/c transport</t>
  </si>
  <si>
    <t>800.3</t>
  </si>
  <si>
    <t>Bétonnage des voies d'exploitation</t>
  </si>
  <si>
    <t>Béton de qualité Q 350 au ciment CPA 350</t>
  </si>
  <si>
    <t>800.4</t>
  </si>
  <si>
    <t>Fourniture et pose de caniveau y compris la fouille en terrain de toutes nature, remblais de fouilles et évacuation des déblais excédentaires</t>
  </si>
  <si>
    <t>800.4.1</t>
  </si>
  <si>
    <t>Section 50 x 50</t>
  </si>
  <si>
    <t>800.4.2</t>
  </si>
  <si>
    <t>Section 60 x 60</t>
  </si>
  <si>
    <t>800.4.3</t>
  </si>
  <si>
    <t>Section 80 x 80</t>
  </si>
  <si>
    <t>800.4.4</t>
  </si>
  <si>
    <t>Section 100 x 100</t>
  </si>
  <si>
    <t>800.5</t>
  </si>
  <si>
    <t>Fourniture et pose de dalots et têtes de dalots y compris la fouille en terrain de toutes natures, remblais de fouilles et évacuation des déblais excédentaires</t>
  </si>
  <si>
    <t>800.5.1</t>
  </si>
  <si>
    <t>800.5.2</t>
  </si>
  <si>
    <t>800.5.3</t>
  </si>
  <si>
    <t>800.5.4</t>
  </si>
  <si>
    <t>Sous total 800</t>
  </si>
  <si>
    <t>SECTION 900</t>
  </si>
  <si>
    <t>ALIMENTATION ELECTRIQUE ET EN EAU POTABLE DU SITE</t>
  </si>
  <si>
    <t>900.1</t>
  </si>
  <si>
    <t>Alimentation électrique du site</t>
  </si>
  <si>
    <t>900.1.1</t>
  </si>
  <si>
    <t>Alimentation moyenne tension du forage à partir du réseau électrique existant devis C.I.E et SECUREL, entre 0 et 500 m</t>
  </si>
  <si>
    <t xml:space="preserve"> ens </t>
  </si>
  <si>
    <t>900.1.4</t>
  </si>
  <si>
    <t>Fourniture et pose d'un IACM, y compris tous les accessoires</t>
  </si>
  <si>
    <t xml:space="preserve"> Unité </t>
  </si>
  <si>
    <t>900.1.5</t>
  </si>
  <si>
    <t>Fourniture et pose du transformateur de 25 KVA -15 KV y compris les accessoire, les câbles de raccordement conformément aux spécifications techniques</t>
  </si>
  <si>
    <t>900.1.6</t>
  </si>
  <si>
    <t>Fourniture et pose d’un compteur C.I.E.</t>
  </si>
  <si>
    <t>900.1.7</t>
  </si>
  <si>
    <t>Fourniture, pose et mise en service</t>
  </si>
  <si>
    <t>-un TGBT  et armoire du Bâtiment technique;</t>
  </si>
  <si>
    <t>-un TGBT  et armoire du de l'éclairage public ;</t>
  </si>
  <si>
    <t>-un TGBT  et armoire du de l' Abris de repos ;</t>
  </si>
  <si>
    <t>900.1.8</t>
  </si>
  <si>
    <r>
      <t xml:space="preserve">câbles électriques : le calcul de section et le choix des câbles font partie des prestations de l'entrepreneur.                                                                                                       * Cable transformateur MT/BT au TGBT (Tableau Générale Basse Tension: alimente l'armoire de local technique et alimente l'armoire de laboratoire)                                                                                                                                                                              * Cable TGBT aux armoire de local technique                                                       * Cable TGBT aux armoire de laboratoire                                                              * Cable TGBT aux armoire de l'Abris de repos          </t>
    </r>
    <r>
      <rPr>
        <b/>
        <sz val="10"/>
        <color theme="1"/>
        <rFont val="Arial"/>
        <family val="2"/>
      </rPr>
      <t xml:space="preserve">    </t>
    </r>
    <r>
      <rPr>
        <sz val="10"/>
        <color theme="1"/>
        <rFont val="Arial"/>
        <family val="2"/>
      </rPr>
      <t xml:space="preserve">                                                                           </t>
    </r>
  </si>
  <si>
    <t>900.1.9</t>
  </si>
  <si>
    <t xml:space="preserve">Fourniture de lampadaire solaire + panneau solaire + Contrôleur MPPT + Capteur de mouvement + Support en acier galvanisé </t>
  </si>
  <si>
    <t>unité</t>
  </si>
  <si>
    <t>900.2</t>
  </si>
  <si>
    <t>Alimentation en eau potable du site</t>
  </si>
  <si>
    <t>900.2.1</t>
  </si>
  <si>
    <t>Alimentation en eau potable de la station par la réalisation d'un forage d'un débit max de 5 m3/h, alimenté par des panneaux solaires et un CE de 5 m3 en polyester sur piètement métallique de 12 m.</t>
  </si>
  <si>
    <t xml:space="preserve"> fft </t>
  </si>
  <si>
    <t>900.2.5</t>
  </si>
  <si>
    <t>Fouille en terrain tendre pour pose de canalisations largeur 0,50 m hauteur 1,10 m</t>
  </si>
  <si>
    <t>900.2.6</t>
  </si>
  <si>
    <t>Plus-value fouille en terrain dur nécessitant l’emploi d’outils pneumatiques</t>
  </si>
  <si>
    <t>900.2.7</t>
  </si>
  <si>
    <t>Fourniture et pose de grillage avertisseur</t>
  </si>
  <si>
    <t>900.2.9</t>
  </si>
  <si>
    <t>Fourniture et pose de canalisations Ø 33,6/40 PN 10 bars en PVC y compris pièces de raccordement en PVC pour raccordement des points d'eau à installer au niveau des lits de séchages</t>
  </si>
  <si>
    <t>900.2.10</t>
  </si>
  <si>
    <t>Fourniture et pose de robinet de prise d'eau au niveau des lits de séchages y compris tous aléas et sujétions</t>
  </si>
  <si>
    <t>u</t>
  </si>
  <si>
    <t>Sous total 900</t>
  </si>
  <si>
    <t>SECTION 1000</t>
  </si>
  <si>
    <t>EQUIPEMENTS ANNEXES</t>
  </si>
  <si>
    <t>1000.1</t>
  </si>
  <si>
    <t>Petit matériel d'exploitation</t>
  </si>
  <si>
    <t>• Pelle (10)</t>
  </si>
  <si>
    <t xml:space="preserve">• Brouette (5) </t>
  </si>
  <si>
    <t>1000.2</t>
  </si>
  <si>
    <t>Equipements de laboratoire</t>
  </si>
  <si>
    <t xml:space="preserve"> unité </t>
  </si>
  <si>
    <t>• Balance numérique</t>
  </si>
  <si>
    <t>• Creuset en porcelaine</t>
  </si>
  <si>
    <t>• Etuve</t>
  </si>
  <si>
    <t>• Tube de minéralisation</t>
  </si>
  <si>
    <t>• Réacteur DCO</t>
  </si>
  <si>
    <t>• Armoire thermostatique</t>
  </si>
  <si>
    <t>• Centrifugeuse</t>
  </si>
  <si>
    <t>• Tube Falcon</t>
  </si>
  <si>
    <t>• PH-mètre</t>
  </si>
  <si>
    <t xml:space="preserve">• Conductimètre </t>
  </si>
  <si>
    <t>Sous total 1000</t>
  </si>
  <si>
    <t>TOTAL HTVA</t>
  </si>
  <si>
    <t>Unité</t>
  </si>
  <si>
    <t>Qté</t>
  </si>
  <si>
    <t>Prix Unitaire</t>
  </si>
  <si>
    <t>MARCHE</t>
  </si>
  <si>
    <t>TRAVAUX REALISES</t>
  </si>
  <si>
    <t>CUMUL PRECEDENT</t>
  </si>
  <si>
    <t>TRAVAUX DU JOUR</t>
  </si>
  <si>
    <t>CUMUL ACTUEL</t>
  </si>
  <si>
    <t>PRODUCTION</t>
  </si>
  <si>
    <t>RESTE A REALISER</t>
  </si>
  <si>
    <t>TOTAL</t>
  </si>
  <si>
    <t>(FCFA)</t>
  </si>
  <si>
    <t>FICHIER DE SUIVI DE LA PRODUCTION - SONGON</t>
  </si>
  <si>
    <r>
      <t>m</t>
    </r>
    <r>
      <rPr>
        <vertAlign val="superscript"/>
        <sz val="10"/>
        <color rgb="FFFF0000"/>
        <rFont val="Arial"/>
        <family val="2"/>
      </rPr>
      <t>3</t>
    </r>
  </si>
  <si>
    <t>N°</t>
  </si>
  <si>
    <t xml:space="preserve">CHEF CHANTIER </t>
  </si>
  <si>
    <t xml:space="preserve">MACONS </t>
  </si>
  <si>
    <t>FERAILLEURS</t>
  </si>
  <si>
    <t>COFFREURS</t>
  </si>
  <si>
    <t>CONDUCTEUR D'ENGINS</t>
  </si>
  <si>
    <t>PLOMBIERS</t>
  </si>
  <si>
    <t>OPERATEURS BETONNIERES</t>
  </si>
  <si>
    <t>SALAIRE UNITAIRE</t>
  </si>
  <si>
    <t>EFFECTIF PRESENTS</t>
  </si>
  <si>
    <t>MONTANT</t>
  </si>
  <si>
    <t xml:space="preserve">TOTAL </t>
  </si>
  <si>
    <t>MARDI</t>
  </si>
  <si>
    <t>MERCREDI</t>
  </si>
  <si>
    <t>JEUDI</t>
  </si>
  <si>
    <t>VENDREDI</t>
  </si>
  <si>
    <t>SAMEDI</t>
  </si>
  <si>
    <t>JOURNAMIERS</t>
  </si>
  <si>
    <t>AIDES CHANTIER</t>
  </si>
  <si>
    <t>PRESTATAIRES</t>
  </si>
  <si>
    <t>COUT UNITAIRE</t>
  </si>
  <si>
    <t>REND</t>
  </si>
  <si>
    <t xml:space="preserve">CONDUCTEUR DES TRAVAUX </t>
  </si>
  <si>
    <t>LUNDI</t>
  </si>
  <si>
    <t>NOM ET PRENOMS</t>
  </si>
  <si>
    <t>DIMANCHE</t>
  </si>
  <si>
    <t xml:space="preserve">JEUDI </t>
  </si>
  <si>
    <t>S/N</t>
  </si>
  <si>
    <t>Total</t>
  </si>
  <si>
    <t>Check</t>
  </si>
  <si>
    <t>Instruction relatives à l'utilisation du fichier</t>
  </si>
  <si>
    <t>1. Prière de renseigner uniquement les fuilles des ouvriers (Maçons, ferrailleurs, coffreurs, etc.)</t>
  </si>
  <si>
    <t>2. Pour les présents, renseigner "1" sinon "0"</t>
  </si>
  <si>
    <t>3. La feuille "SUIVI HEBDOMADAIRE PAIE" sera renseigner automatiquement.</t>
  </si>
  <si>
    <t>RETENUE EPI</t>
  </si>
  <si>
    <t>NET A PAYER</t>
  </si>
  <si>
    <t>MONTANT TOTAL BRUT</t>
  </si>
  <si>
    <t>EPI</t>
  </si>
  <si>
    <t>JR TRAVAILLE</t>
  </si>
  <si>
    <t>MT JOURNALIER</t>
  </si>
  <si>
    <t>HEURES SUPPLEMENTAIRES</t>
  </si>
  <si>
    <t>SUIVI HEBDOMADAIRE DE LA PAIE DE LA MAIN D'ŒUVRE / SEMAINE DU 03 AU 09/07/2026</t>
  </si>
  <si>
    <t>KAHOU BI AMBROISE</t>
  </si>
  <si>
    <t>NDRI YAO CONSTANT</t>
  </si>
  <si>
    <t>BANE MARIUS</t>
  </si>
  <si>
    <t>KOUAKOU KOUASSI NOEL</t>
  </si>
  <si>
    <t>KOUASSI KOUADIO KEVIN</t>
  </si>
  <si>
    <t>DJE BI ROMARIC</t>
  </si>
  <si>
    <t>DOUMBIA ISMAEL</t>
  </si>
  <si>
    <t>TIE BI TIE SYLVA</t>
  </si>
  <si>
    <t>AKWAEZE ANTONY</t>
  </si>
  <si>
    <t>LYKA GOUELY</t>
  </si>
  <si>
    <t>TRA BI FIDEL</t>
  </si>
  <si>
    <t>BAKAYOKO AICHA</t>
  </si>
  <si>
    <t>KOLO BI GOULY NARCISSE</t>
  </si>
  <si>
    <t>TRA BI IRIE ISIDORE</t>
  </si>
  <si>
    <t>KOUAI BI AMED</t>
  </si>
  <si>
    <t>DIARRA LACINA</t>
  </si>
  <si>
    <t>BAMBA TOKPA</t>
  </si>
  <si>
    <t>AMANI YAO CHRIST</t>
  </si>
  <si>
    <t>YAPI DORGELES</t>
  </si>
  <si>
    <t>EKISSI JUNIOR</t>
  </si>
  <si>
    <t>MANGNE FLORE</t>
  </si>
  <si>
    <t>KOUADIO KOUASSI CHRISTIAN</t>
  </si>
  <si>
    <t>GBAMENE BI TIZIE JUNIOR</t>
  </si>
  <si>
    <t>GBAYA PRINCE</t>
  </si>
  <si>
    <t>NGUESSAN KOUADIO KEVIN</t>
  </si>
  <si>
    <t>KONE ISMAEL</t>
  </si>
  <si>
    <t>ZOYA EVARIST</t>
  </si>
  <si>
    <t>IRIE BI TRA RODOLPH</t>
  </si>
  <si>
    <t>IRIE BI BOH MARCEL</t>
  </si>
  <si>
    <t>AGBASSI LOBA BASILE</t>
  </si>
  <si>
    <t>ASSEMON VERDIER</t>
  </si>
  <si>
    <t>DJOSSOU BRICE</t>
  </si>
  <si>
    <t>DJEHI BI CLEMENT</t>
  </si>
  <si>
    <t>IRIE LEZIE NOEL</t>
  </si>
  <si>
    <t>ZORO BI ZIBO</t>
  </si>
  <si>
    <t>DIE BLE ALBAN</t>
  </si>
  <si>
    <t>KOUAI BI BAKI</t>
  </si>
  <si>
    <t>GOURIA KELEWIN ELYSEE</t>
  </si>
  <si>
    <t>TOH BI TRA DIEUDONNE</t>
  </si>
  <si>
    <t>KONAN KOUASSI MICHEL</t>
  </si>
  <si>
    <t>LIZIE BI IRIE YANNICK</t>
  </si>
  <si>
    <t>TOKPA CHERIF</t>
  </si>
  <si>
    <t>GONLOUA JOSUE</t>
  </si>
  <si>
    <t>DOUBI BI DOUBI ROLLY</t>
  </si>
  <si>
    <t>BOUO JOSE</t>
  </si>
  <si>
    <t>GOUESSE OSCAR</t>
  </si>
  <si>
    <t>BLE SEDET ANICET</t>
  </si>
  <si>
    <t>BLE SEDET ARMEL</t>
  </si>
  <si>
    <t>KONE ROMEO</t>
  </si>
  <si>
    <t>ZAHIBO OBRE MARC</t>
  </si>
  <si>
    <t>DIOMANDE FRANCK</t>
  </si>
  <si>
    <t>KOUADIO JEAN PRIVA</t>
  </si>
  <si>
    <t>YATTE BORIS</t>
  </si>
  <si>
    <t>GOGBEU EUDES</t>
  </si>
  <si>
    <t>MASSIE ARSENE</t>
  </si>
  <si>
    <t>GUEI HYPPOLITE</t>
  </si>
  <si>
    <t>LOKOURI SIMPLICE</t>
  </si>
  <si>
    <t>DIAKITE BOUYAGUI</t>
  </si>
  <si>
    <t>KOULAEOULOU ROLAND</t>
  </si>
  <si>
    <t>YANOU ALAIN</t>
  </si>
  <si>
    <t>BLEDI SABIN</t>
  </si>
  <si>
    <t>OULA BOLE PARTERNE</t>
  </si>
  <si>
    <t>BOUMOU CLEMENT</t>
  </si>
  <si>
    <t>AMANI PIERRE</t>
  </si>
  <si>
    <t>AHIRE KOUASSI</t>
  </si>
  <si>
    <t>KOUASSI ISIDORE</t>
  </si>
  <si>
    <t>OUSSOU KONAN MARIUS</t>
  </si>
  <si>
    <t>KAMATE YACOU</t>
  </si>
  <si>
    <t>BAKAYOKO JEAN MARC</t>
  </si>
  <si>
    <t>OULAI ARNAUD</t>
  </si>
  <si>
    <t>EKISSI PRINCE</t>
  </si>
  <si>
    <t>KOUADIO JEAN PRIVAT</t>
  </si>
  <si>
    <t>BLE ARMEL</t>
  </si>
  <si>
    <t>DJE BI BOH ALEXANDRE</t>
  </si>
  <si>
    <t>FICHE D'EMARGEMENT DES MACONS / SEMAINE DU 03/07/2026 AU 09/07/2026</t>
  </si>
  <si>
    <t>FICHE D'EMARGEMENT DES FERRAILLEURS / SEMAINE DU 03/07/2026 AU 09/07/2026</t>
  </si>
  <si>
    <t>FICHE D'EMARGEMENT DES COFFREURS / SEMAINE DU 03/07/2026 AU 09/07/2026</t>
  </si>
  <si>
    <t>FICHE D'EMARGEMENT DES POMBLIERS / SEMAINE DU 03/07/2026 AU 09/07/2026</t>
  </si>
  <si>
    <t>FICHE D'EMARGEMENT DES CONDUCTEURS D'ENGINS / SEMAINE DU 03/07/2026 AU 09/07/2026</t>
  </si>
  <si>
    <t>FICHE D'EMARGEMENT DES OPERATEURS BETONNIERES / SEMAINE DU 03/07/2026 AU 09/07/2026</t>
  </si>
  <si>
    <t>FICHE D'EMARGEMENT DES AIDES CHANTIERS / SEMAINE DU 03/07/2026 AU 09/07/2026</t>
  </si>
  <si>
    <t>FICHE D'EMARGEMENT DES HEURES SUP/ SEMAINE DU 03/07/2026 AU 09/07/2026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</si>
</sst>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32" x14ac:knownFonts="1">
    <font>
      <sz val="11"/>
      <color theme="1"/>
      <name val="Calibri"/>
      <family val="2"/>
      <scheme val="minor"/>
    </font>
    <font>
      <sz val="11"/>
      <color theme="1"/>
      <name val="Calibri"/>
      <family val="2"/>
      <scheme val="minor"/>
    </font>
    <font>
      <b/>
      <u/>
      <sz val="18"/>
      <color theme="1"/>
      <name val="Times New Roman"/>
      <family val="1"/>
    </font>
    <font>
      <b/>
      <sz val="18"/>
      <color theme="1"/>
      <name val="Times New Roman"/>
      <family val="1"/>
    </font>
    <font>
      <b/>
      <u/>
      <sz val="14"/>
      <color theme="1"/>
      <name val="Times New Roman"/>
      <family val="1"/>
    </font>
    <font>
      <b/>
      <sz val="9"/>
      <color theme="1"/>
      <name val="Times New Roman"/>
      <family val="1"/>
    </font>
    <font>
      <b/>
      <sz val="10"/>
      <color theme="1"/>
      <name val="Arial"/>
      <family val="2"/>
    </font>
    <font>
      <b/>
      <sz val="10"/>
      <color rgb="FF000000"/>
      <name val="Arial"/>
      <family val="2"/>
    </font>
    <font>
      <sz val="10"/>
      <color theme="1"/>
      <name val="Arial"/>
      <family val="2"/>
    </font>
    <font>
      <vertAlign val="superscript"/>
      <sz val="10"/>
      <color theme="1"/>
      <name val="Arial"/>
      <family val="2"/>
    </font>
    <font>
      <sz val="9"/>
      <color theme="1"/>
      <name val="Arial"/>
      <family val="2"/>
    </font>
    <font>
      <sz val="10"/>
      <color rgb="FF000000"/>
      <name val="Arial"/>
      <family val="2"/>
    </font>
    <font>
      <vertAlign val="superscript"/>
      <sz val="10"/>
      <color rgb="FF000000"/>
      <name val="Arial"/>
      <family val="2"/>
    </font>
    <font>
      <b/>
      <sz val="12"/>
      <color theme="1"/>
      <name val="Calibri"/>
      <family val="2"/>
      <scheme val="minor"/>
    </font>
    <font>
      <sz val="11"/>
      <color theme="1"/>
      <name val="Arial"/>
      <family val="2"/>
    </font>
    <font>
      <b/>
      <sz val="11"/>
      <color theme="1"/>
      <name val="Arial"/>
      <family val="2"/>
    </font>
    <font>
      <b/>
      <sz val="16"/>
      <color theme="1"/>
      <name val="Arial"/>
      <family val="2"/>
    </font>
    <font>
      <b/>
      <sz val="10"/>
      <color rgb="FFFF0000"/>
      <name val="Arial"/>
      <family val="2"/>
    </font>
    <font>
      <sz val="10"/>
      <color rgb="FFFF0000"/>
      <name val="Arial"/>
      <family val="2"/>
    </font>
    <font>
      <sz val="11"/>
      <color rgb="FFFF0000"/>
      <name val="Arial"/>
      <family val="2"/>
    </font>
    <font>
      <vertAlign val="superscript"/>
      <sz val="10"/>
      <color rgb="FFFF0000"/>
      <name val="Arial"/>
      <family val="2"/>
    </font>
    <font>
      <sz val="16"/>
      <color theme="1"/>
      <name val="Arial"/>
      <family val="2"/>
    </font>
    <font>
      <b/>
      <sz val="22"/>
      <color theme="1"/>
      <name val="Arial"/>
      <family val="2"/>
    </font>
    <font>
      <b/>
      <sz val="20"/>
      <color theme="1"/>
      <name val="Arial"/>
      <family val="2"/>
    </font>
    <font>
      <sz val="20"/>
      <color theme="1"/>
      <name val="Arial"/>
      <family val="2"/>
    </font>
    <font>
      <sz val="20"/>
      <color rgb="FF000000"/>
      <name val="Arial"/>
      <family val="2"/>
    </font>
    <font>
      <b/>
      <u/>
      <sz val="20"/>
      <color theme="1"/>
      <name val="Arial"/>
      <family val="2"/>
    </font>
    <font>
      <b/>
      <sz val="26"/>
      <color theme="1"/>
      <name val="Arial"/>
      <family val="2"/>
    </font>
    <font>
      <sz val="20"/>
      <color rgb="FFFF0000"/>
      <name val="Arial"/>
      <family val="2"/>
    </font>
    <font>
      <b/>
      <sz val="20"/>
      <color theme="0"/>
      <name val="Arial"/>
      <family val="2"/>
    </font>
    <font>
      <sz val="8"/>
      <name val="Calibri"/>
      <family val="2"/>
      <scheme val="minor"/>
    </font>
    <font>
      <b/>
      <sz val="14"/>
      <color theme="0"/>
      <name val="Arial"/>
      <family val="2"/>
    </font>
  </fonts>
  <fills count="11">
    <fill>
      <patternFill patternType="none"/>
    </fill>
    <fill>
      <patternFill patternType="gray125"/>
    </fill>
    <fill>
      <patternFill patternType="solid">
        <fgColor rgb="FFC9C9C9"/>
        <bgColor indexed="64"/>
      </patternFill>
    </fill>
    <fill>
      <patternFill patternType="solid">
        <fgColor rgb="FFDBDBDB"/>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249977111117893"/>
        <bgColor indexed="64"/>
      </patternFill>
    </fill>
    <fill>
      <patternFill patternType="solid">
        <fgColor theme="1"/>
        <bgColor theme="1"/>
      </patternFill>
    </fill>
    <fill>
      <patternFill patternType="solid">
        <fgColor theme="1"/>
        <bgColor indexed="64"/>
      </patternFill>
    </fill>
  </fills>
  <borders count="4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double">
        <color theme="1"/>
      </top>
      <bottom style="thin">
        <color theme="1"/>
      </bottom>
      <diagonal/>
    </border>
    <border>
      <left style="thin">
        <color theme="1"/>
      </left>
      <right/>
      <top style="double">
        <color theme="1"/>
      </top>
      <bottom style="thin">
        <color theme="1"/>
      </bottom>
      <diagonal/>
    </border>
    <border>
      <left/>
      <right style="thin">
        <color theme="1"/>
      </right>
      <top style="double">
        <color theme="1"/>
      </top>
      <bottom style="thin">
        <color theme="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double">
        <color theme="1"/>
      </top>
      <bottom style="medium">
        <color indexed="64"/>
      </bottom>
      <diagonal/>
    </border>
    <border>
      <left/>
      <right style="medium">
        <color indexed="64"/>
      </right>
      <top style="double">
        <color theme="1"/>
      </top>
      <bottom style="medium">
        <color indexed="64"/>
      </bottom>
      <diagonal/>
    </border>
    <border>
      <left style="thin">
        <color theme="1"/>
      </left>
      <right/>
      <top style="thin">
        <color theme="1"/>
      </top>
      <bottom/>
      <diagonal/>
    </border>
    <border>
      <left/>
      <right/>
      <top style="thin">
        <color theme="1"/>
      </top>
      <bottom/>
      <diagonal/>
    </border>
    <border>
      <left/>
      <right/>
      <top style="thin">
        <color indexed="64"/>
      </top>
      <bottom/>
      <diagonal/>
    </border>
    <border>
      <left style="medium">
        <color indexed="64"/>
      </left>
      <right/>
      <top style="thin">
        <color theme="1"/>
      </top>
      <bottom/>
      <diagonal/>
    </border>
    <border>
      <left/>
      <right style="thin">
        <color theme="1"/>
      </right>
      <top style="thin">
        <color theme="1"/>
      </top>
      <bottom/>
      <diagonal/>
    </border>
    <border>
      <left/>
      <right/>
      <top style="double">
        <color theme="1"/>
      </top>
      <bottom style="medium">
        <color indexed="64"/>
      </bottom>
      <diagonal/>
    </border>
    <border>
      <left/>
      <right/>
      <top/>
      <bottom style="thin">
        <color theme="1"/>
      </bottom>
      <diagonal/>
    </border>
    <border>
      <left/>
      <right style="medium">
        <color indexed="64"/>
      </right>
      <top/>
      <bottom style="thin">
        <color theme="1"/>
      </bottom>
      <diagonal/>
    </border>
    <border>
      <left/>
      <right style="medium">
        <color indexed="64"/>
      </right>
      <top style="thin">
        <color theme="1"/>
      </top>
      <bottom/>
      <diagonal/>
    </border>
    <border>
      <left style="medium">
        <color indexed="64"/>
      </left>
      <right/>
      <top/>
      <bottom style="thin">
        <color theme="1"/>
      </bottom>
      <diagonal/>
    </border>
  </borders>
  <cellStyleXfs count="2">
    <xf numFmtId="0" fontId="0" fillId="0" borderId="0"/>
    <xf numFmtId="41" fontId="1" fillId="0" borderId="0" applyFont="0" applyFill="0" applyBorder="0" applyAlignment="0" applyProtection="0"/>
  </cellStyleXfs>
  <cellXfs count="209">
    <xf numFmtId="0" fontId="0" fillId="0" borderId="0" xfId="0"/>
    <xf numFmtId="0" fontId="3" fillId="0" borderId="0" xfId="0" applyFont="1" applyAlignment="1">
      <alignment horizontal="center" vertical="center"/>
    </xf>
    <xf numFmtId="0" fontId="0" fillId="0" borderId="0" xfId="0" applyAlignment="1">
      <alignment vertical="center"/>
    </xf>
    <xf numFmtId="0" fontId="5" fillId="0" borderId="0" xfId="0" applyFont="1" applyAlignment="1">
      <alignment horizontal="left" vertical="center"/>
    </xf>
    <xf numFmtId="0" fontId="6" fillId="0" borderId="1" xfId="0" applyFont="1" applyBorder="1" applyAlignment="1">
      <alignment horizontal="center" vertical="center"/>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6" fillId="0" borderId="4" xfId="0" applyFont="1" applyBorder="1" applyAlignment="1">
      <alignment vertical="center"/>
    </xf>
    <xf numFmtId="0" fontId="6" fillId="0" borderId="5" xfId="0" applyFont="1" applyBorder="1" applyAlignment="1">
      <alignment vertical="center" wrapText="1"/>
    </xf>
    <xf numFmtId="0" fontId="6" fillId="0" borderId="5" xfId="0" applyFont="1" applyBorder="1" applyAlignment="1">
      <alignment horizontal="center" vertical="center"/>
    </xf>
    <xf numFmtId="0" fontId="8" fillId="0" borderId="6" xfId="0" applyFont="1" applyBorder="1" applyAlignment="1">
      <alignment vertical="center" wrapText="1"/>
    </xf>
    <xf numFmtId="0" fontId="8" fillId="0" borderId="4" xfId="0" applyFont="1" applyBorder="1" applyAlignment="1">
      <alignment vertical="center"/>
    </xf>
    <xf numFmtId="0" fontId="8" fillId="0" borderId="5" xfId="0" applyFont="1" applyBorder="1" applyAlignment="1">
      <alignment vertical="center" wrapText="1"/>
    </xf>
    <xf numFmtId="0" fontId="8" fillId="0" borderId="5" xfId="0" applyFont="1" applyBorder="1" applyAlignment="1">
      <alignment horizontal="center" vertical="center"/>
    </xf>
    <xf numFmtId="0" fontId="8" fillId="0" borderId="5" xfId="0" applyFont="1" applyBorder="1" applyAlignment="1">
      <alignment horizontal="center" vertical="center" wrapText="1"/>
    </xf>
    <xf numFmtId="41" fontId="8" fillId="0" borderId="5" xfId="0" applyNumberFormat="1" applyFont="1" applyBorder="1" applyAlignment="1">
      <alignment horizontal="center" vertical="center"/>
    </xf>
    <xf numFmtId="41" fontId="8" fillId="0" borderId="6" xfId="0" applyNumberFormat="1" applyFont="1" applyBorder="1" applyAlignment="1">
      <alignment horizontal="center" vertical="center"/>
    </xf>
    <xf numFmtId="0" fontId="6" fillId="3" borderId="5" xfId="0" applyFont="1" applyFill="1" applyBorder="1" applyAlignment="1">
      <alignment horizontal="right" vertical="center"/>
    </xf>
    <xf numFmtId="41" fontId="6" fillId="3" borderId="6" xfId="0" applyNumberFormat="1" applyFont="1" applyFill="1" applyBorder="1" applyAlignment="1">
      <alignment horizontal="right" vertical="center" wrapText="1"/>
    </xf>
    <xf numFmtId="0" fontId="6" fillId="0" borderId="5" xfId="0" applyFont="1" applyBorder="1" applyAlignment="1">
      <alignment horizontal="justify" vertical="center" wrapText="1"/>
    </xf>
    <xf numFmtId="0" fontId="8" fillId="0" borderId="5" xfId="0" applyFont="1" applyBorder="1" applyAlignment="1">
      <alignment vertical="center"/>
    </xf>
    <xf numFmtId="0" fontId="8" fillId="0" borderId="6" xfId="0" applyFont="1" applyBorder="1" applyAlignment="1">
      <alignment horizontal="center" vertical="center"/>
    </xf>
    <xf numFmtId="3" fontId="10" fillId="0" borderId="5" xfId="0" applyNumberFormat="1" applyFont="1" applyBorder="1" applyAlignment="1">
      <alignment horizontal="center" vertical="center" wrapText="1"/>
    </xf>
    <xf numFmtId="41" fontId="8" fillId="0" borderId="6" xfId="1" applyFont="1" applyBorder="1" applyAlignment="1">
      <alignment horizontal="center" vertical="center"/>
    </xf>
    <xf numFmtId="0" fontId="11" fillId="0" borderId="5" xfId="0" applyFont="1" applyBorder="1" applyAlignment="1">
      <alignment vertical="center" wrapText="1"/>
    </xf>
    <xf numFmtId="3" fontId="8" fillId="0" borderId="5" xfId="0" applyNumberFormat="1" applyFont="1" applyBorder="1" applyAlignment="1">
      <alignment horizontal="center" vertical="center" wrapText="1"/>
    </xf>
    <xf numFmtId="0" fontId="11" fillId="0" borderId="5" xfId="0" applyFont="1" applyBorder="1" applyAlignment="1">
      <alignment vertical="center"/>
    </xf>
    <xf numFmtId="0" fontId="10" fillId="0" borderId="5" xfId="0" applyFont="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vertical="center"/>
    </xf>
    <xf numFmtId="41" fontId="8" fillId="0" borderId="5" xfId="0" applyNumberFormat="1" applyFont="1" applyBorder="1" applyAlignment="1">
      <alignment vertical="center"/>
    </xf>
    <xf numFmtId="0" fontId="6" fillId="0" borderId="5" xfId="0" applyFont="1" applyBorder="1" applyAlignment="1">
      <alignment horizontal="right" vertical="center"/>
    </xf>
    <xf numFmtId="0" fontId="6" fillId="0" borderId="6" xfId="0" applyFont="1" applyBorder="1" applyAlignment="1">
      <alignment horizontal="right" vertical="center" wrapText="1"/>
    </xf>
    <xf numFmtId="0" fontId="6" fillId="0" borderId="6" xfId="0" applyFont="1" applyBorder="1" applyAlignment="1">
      <alignment horizontal="center" vertical="center" wrapText="1"/>
    </xf>
    <xf numFmtId="0" fontId="8" fillId="0" borderId="5" xfId="0" applyFont="1" applyBorder="1" applyAlignment="1">
      <alignment horizontal="justify" vertical="center" wrapText="1"/>
    </xf>
    <xf numFmtId="41" fontId="8" fillId="0" borderId="5" xfId="0" applyNumberFormat="1" applyFont="1" applyBorder="1" applyAlignment="1">
      <alignment horizontal="right" vertical="center"/>
    </xf>
    <xf numFmtId="0" fontId="11" fillId="0" borderId="5" xfId="0" applyFont="1" applyBorder="1" applyAlignment="1">
      <alignment horizontal="justify" vertical="center" wrapText="1"/>
    </xf>
    <xf numFmtId="41" fontId="8" fillId="0" borderId="5" xfId="1" applyFont="1" applyBorder="1" applyAlignment="1">
      <alignment horizontal="right" vertical="center"/>
    </xf>
    <xf numFmtId="0" fontId="6" fillId="0" borderId="5" xfId="0" applyFont="1" applyBorder="1" applyAlignment="1">
      <alignment vertical="center"/>
    </xf>
    <xf numFmtId="0" fontId="8" fillId="0" borderId="5" xfId="0" applyFont="1" applyBorder="1" applyAlignment="1">
      <alignment horizontal="right" vertical="center"/>
    </xf>
    <xf numFmtId="3" fontId="8" fillId="0" borderId="5" xfId="0" applyNumberFormat="1" applyFont="1" applyBorder="1" applyAlignment="1">
      <alignment horizontal="right" vertical="center"/>
    </xf>
    <xf numFmtId="0" fontId="11" fillId="4" borderId="4" xfId="0" applyFont="1" applyFill="1" applyBorder="1" applyAlignment="1">
      <alignment vertical="center"/>
    </xf>
    <xf numFmtId="0" fontId="11" fillId="4" borderId="5" xfId="0" applyFont="1" applyFill="1" applyBorder="1" applyAlignment="1">
      <alignment horizontal="justify" vertical="center" wrapText="1"/>
    </xf>
    <xf numFmtId="0" fontId="11" fillId="4" borderId="5" xfId="0" applyFont="1" applyFill="1" applyBorder="1" applyAlignment="1">
      <alignment horizontal="center" vertical="center"/>
    </xf>
    <xf numFmtId="41" fontId="8" fillId="4" borderId="5" xfId="0" applyNumberFormat="1" applyFont="1" applyFill="1" applyBorder="1" applyAlignment="1">
      <alignment horizontal="center" vertical="center"/>
    </xf>
    <xf numFmtId="41" fontId="8" fillId="5" borderId="5" xfId="1" applyFont="1" applyFill="1" applyBorder="1" applyAlignment="1">
      <alignment horizontal="right" vertical="center"/>
    </xf>
    <xf numFmtId="3" fontId="8" fillId="5" borderId="5" xfId="0" applyNumberFormat="1" applyFont="1" applyFill="1" applyBorder="1" applyAlignment="1">
      <alignment horizontal="right" vertical="center"/>
    </xf>
    <xf numFmtId="0" fontId="11" fillId="0" borderId="5" xfId="0" applyFont="1" applyBorder="1" applyAlignment="1">
      <alignment horizontal="center" vertical="center"/>
    </xf>
    <xf numFmtId="0" fontId="11" fillId="0" borderId="5" xfId="0" applyFont="1" applyBorder="1" applyAlignment="1">
      <alignment horizontal="center" vertical="center" wrapText="1"/>
    </xf>
    <xf numFmtId="0" fontId="6" fillId="0" borderId="4" xfId="0" applyFont="1" applyBorder="1" applyAlignment="1">
      <alignment vertical="center" wrapText="1"/>
    </xf>
    <xf numFmtId="41" fontId="8" fillId="0" borderId="5" xfId="0" applyNumberFormat="1" applyFont="1" applyBorder="1" applyAlignment="1">
      <alignment vertical="center" wrapText="1"/>
    </xf>
    <xf numFmtId="0" fontId="11" fillId="4" borderId="5" xfId="0" applyFont="1" applyFill="1" applyBorder="1" applyAlignment="1">
      <alignment horizontal="center" vertical="center" wrapText="1"/>
    </xf>
    <xf numFmtId="0" fontId="7" fillId="3" borderId="11" xfId="0" applyFont="1" applyFill="1" applyBorder="1" applyAlignment="1">
      <alignment horizontal="right" vertical="center"/>
    </xf>
    <xf numFmtId="41" fontId="6" fillId="3" borderId="7" xfId="0" applyNumberFormat="1" applyFont="1" applyFill="1" applyBorder="1" applyAlignment="1">
      <alignment horizontal="right" vertical="center" wrapText="1"/>
    </xf>
    <xf numFmtId="41" fontId="13" fillId="0" borderId="14" xfId="0" applyNumberFormat="1" applyFont="1" applyBorder="1"/>
    <xf numFmtId="0" fontId="13" fillId="0" borderId="0" xfId="0" applyFont="1"/>
    <xf numFmtId="41" fontId="0" fillId="0" borderId="0" xfId="1" applyFont="1"/>
    <xf numFmtId="0" fontId="14" fillId="0" borderId="0" xfId="0" applyFont="1"/>
    <xf numFmtId="41" fontId="14" fillId="0" borderId="5" xfId="1" applyFont="1" applyBorder="1"/>
    <xf numFmtId="0" fontId="6" fillId="7" borderId="5" xfId="0" applyFont="1" applyFill="1" applyBorder="1" applyAlignment="1">
      <alignment horizontal="right" vertical="center"/>
    </xf>
    <xf numFmtId="3" fontId="8" fillId="7" borderId="5" xfId="0" applyNumberFormat="1" applyFont="1" applyFill="1" applyBorder="1" applyAlignment="1">
      <alignment horizontal="center" vertical="center" wrapText="1"/>
    </xf>
    <xf numFmtId="41" fontId="8" fillId="7" borderId="5" xfId="0" applyNumberFormat="1" applyFont="1" applyFill="1" applyBorder="1" applyAlignment="1">
      <alignment horizontal="right" vertical="center"/>
    </xf>
    <xf numFmtId="0" fontId="8" fillId="7" borderId="5" xfId="0" applyFont="1" applyFill="1" applyBorder="1" applyAlignment="1">
      <alignment horizontal="center" vertical="center" wrapText="1"/>
    </xf>
    <xf numFmtId="0" fontId="8" fillId="7" borderId="5" xfId="0" applyFont="1" applyFill="1" applyBorder="1" applyAlignment="1">
      <alignment horizontal="right" vertical="center"/>
    </xf>
    <xf numFmtId="0" fontId="15" fillId="0" borderId="5" xfId="0" applyFont="1" applyBorder="1"/>
    <xf numFmtId="0" fontId="15" fillId="6" borderId="3" xfId="0" applyFont="1" applyFill="1" applyBorder="1"/>
    <xf numFmtId="0" fontId="6" fillId="7" borderId="4" xfId="0" applyFont="1" applyFill="1" applyBorder="1" applyAlignment="1">
      <alignment horizontal="center" vertical="center"/>
    </xf>
    <xf numFmtId="0" fontId="15" fillId="6" borderId="6" xfId="0" applyFont="1" applyFill="1" applyBorder="1" applyAlignment="1">
      <alignment horizontal="center"/>
    </xf>
    <xf numFmtId="0" fontId="8" fillId="7" borderId="4" xfId="0" applyFont="1" applyFill="1" applyBorder="1" applyAlignment="1">
      <alignment horizontal="center" vertical="center"/>
    </xf>
    <xf numFmtId="41" fontId="14" fillId="6" borderId="6" xfId="1" applyFont="1" applyFill="1" applyBorder="1"/>
    <xf numFmtId="0" fontId="14" fillId="7" borderId="18" xfId="0" applyFont="1" applyFill="1" applyBorder="1"/>
    <xf numFmtId="0" fontId="14" fillId="7" borderId="19" xfId="0" applyFont="1" applyFill="1" applyBorder="1"/>
    <xf numFmtId="0" fontId="14" fillId="0" borderId="19" xfId="0" applyFont="1" applyBorder="1"/>
    <xf numFmtId="0" fontId="6" fillId="0" borderId="1" xfId="0" applyFont="1" applyBorder="1" applyAlignment="1">
      <alignment vertical="center"/>
    </xf>
    <xf numFmtId="0" fontId="6" fillId="0" borderId="3" xfId="0" applyFont="1" applyBorder="1" applyAlignment="1">
      <alignment vertical="center" wrapText="1"/>
    </xf>
    <xf numFmtId="0" fontId="6" fillId="0" borderId="6" xfId="0" applyFont="1" applyBorder="1" applyAlignment="1">
      <alignment vertical="center"/>
    </xf>
    <xf numFmtId="0" fontId="8" fillId="0" borderId="6" xfId="0" applyFont="1" applyBorder="1" applyAlignment="1">
      <alignment horizontal="justify" vertical="center" wrapText="1"/>
    </xf>
    <xf numFmtId="0" fontId="11" fillId="0" borderId="6" xfId="0" applyFont="1" applyBorder="1" applyAlignment="1">
      <alignment horizontal="justify" vertical="center" wrapText="1"/>
    </xf>
    <xf numFmtId="0" fontId="14" fillId="0" borderId="21" xfId="0" applyFont="1" applyBorder="1"/>
    <xf numFmtId="0" fontId="14" fillId="0" borderId="20" xfId="0" applyFont="1" applyBorder="1"/>
    <xf numFmtId="41" fontId="15" fillId="0" borderId="20" xfId="0" applyNumberFormat="1" applyFont="1" applyBorder="1"/>
    <xf numFmtId="0" fontId="17" fillId="0" borderId="6" xfId="0" applyFont="1" applyBorder="1" applyAlignment="1">
      <alignment vertical="center"/>
    </xf>
    <xf numFmtId="0" fontId="18" fillId="0" borderId="6" xfId="0" applyFont="1" applyBorder="1" applyAlignment="1">
      <alignment horizontal="justify" vertical="center" wrapText="1"/>
    </xf>
    <xf numFmtId="0" fontId="17" fillId="0" borderId="4" xfId="0" applyFont="1" applyBorder="1" applyAlignment="1">
      <alignment vertical="center"/>
    </xf>
    <xf numFmtId="0" fontId="18" fillId="7" borderId="4" xfId="0" applyFont="1" applyFill="1" applyBorder="1" applyAlignment="1">
      <alignment horizontal="center" vertical="center"/>
    </xf>
    <xf numFmtId="0" fontId="18" fillId="7" borderId="5" xfId="0" applyFont="1" applyFill="1" applyBorder="1" applyAlignment="1">
      <alignment horizontal="center" vertical="center"/>
    </xf>
    <xf numFmtId="41" fontId="19" fillId="0" borderId="5" xfId="1" applyFont="1" applyBorder="1"/>
    <xf numFmtId="41" fontId="19" fillId="6" borderId="6" xfId="1" applyFont="1" applyFill="1" applyBorder="1"/>
    <xf numFmtId="0" fontId="19" fillId="0" borderId="0" xfId="0" applyFont="1"/>
    <xf numFmtId="0" fontId="18" fillId="0" borderId="4" xfId="0" applyFont="1" applyBorder="1" applyAlignment="1">
      <alignment vertical="center"/>
    </xf>
    <xf numFmtId="3" fontId="18" fillId="7" borderId="5" xfId="0" applyNumberFormat="1" applyFont="1" applyFill="1" applyBorder="1" applyAlignment="1">
      <alignment horizontal="center" vertical="center" wrapText="1"/>
    </xf>
    <xf numFmtId="41" fontId="18" fillId="7" borderId="5" xfId="0" applyNumberFormat="1" applyFont="1" applyFill="1" applyBorder="1" applyAlignment="1">
      <alignment horizontal="right" vertical="center"/>
    </xf>
    <xf numFmtId="0" fontId="21" fillId="0" borderId="0" xfId="0" applyFont="1"/>
    <xf numFmtId="0" fontId="21" fillId="0" borderId="0" xfId="0" applyFont="1" applyAlignment="1">
      <alignment vertical="center"/>
    </xf>
    <xf numFmtId="0" fontId="21" fillId="0" borderId="0" xfId="0" applyFont="1" applyAlignment="1">
      <alignment wrapText="1"/>
    </xf>
    <xf numFmtId="0" fontId="24" fillId="0" borderId="0" xfId="0" applyFont="1"/>
    <xf numFmtId="0" fontId="23" fillId="0" borderId="19" xfId="0" applyFont="1" applyBorder="1" applyAlignment="1">
      <alignment horizontal="center" vertical="center" wrapText="1"/>
    </xf>
    <xf numFmtId="0" fontId="24" fillId="0" borderId="4" xfId="0" applyFont="1" applyBorder="1" applyAlignment="1">
      <alignment horizontal="center" vertical="center"/>
    </xf>
    <xf numFmtId="0" fontId="24" fillId="0" borderId="5" xfId="0" applyFont="1" applyBorder="1" applyAlignment="1">
      <alignment vertical="center" wrapText="1"/>
    </xf>
    <xf numFmtId="0" fontId="24" fillId="0" borderId="5" xfId="0" applyFont="1" applyBorder="1" applyAlignment="1">
      <alignment horizontal="center" vertical="center" wrapText="1"/>
    </xf>
    <xf numFmtId="41" fontId="24" fillId="0" borderId="5" xfId="1" applyFont="1" applyBorder="1" applyAlignment="1">
      <alignment wrapText="1"/>
    </xf>
    <xf numFmtId="0" fontId="25" fillId="0" borderId="5" xfId="0" applyFont="1" applyBorder="1" applyAlignment="1">
      <alignment horizontal="justify" vertical="center" wrapText="1"/>
    </xf>
    <xf numFmtId="0" fontId="24" fillId="0" borderId="5" xfId="0" applyFont="1" applyBorder="1" applyAlignment="1">
      <alignment horizontal="justify" vertical="center" wrapText="1"/>
    </xf>
    <xf numFmtId="41" fontId="24" fillId="0" borderId="5" xfId="1" applyFont="1" applyBorder="1" applyAlignment="1">
      <alignment horizontal="center" wrapText="1"/>
    </xf>
    <xf numFmtId="0" fontId="24" fillId="0" borderId="4" xfId="0" applyFont="1" applyBorder="1"/>
    <xf numFmtId="0" fontId="24" fillId="0" borderId="18" xfId="0" applyFont="1" applyBorder="1" applyAlignment="1">
      <alignment vertical="center"/>
    </xf>
    <xf numFmtId="0" fontId="24" fillId="8" borderId="19" xfId="0" applyFont="1" applyFill="1" applyBorder="1" applyAlignment="1">
      <alignment vertical="center" wrapText="1"/>
    </xf>
    <xf numFmtId="0" fontId="24" fillId="0" borderId="0" xfId="0" applyFont="1" applyAlignment="1">
      <alignment vertical="center"/>
    </xf>
    <xf numFmtId="0" fontId="24" fillId="0" borderId="0" xfId="0" applyFont="1" applyAlignment="1">
      <alignment horizontal="center" vertical="center" wrapText="1"/>
    </xf>
    <xf numFmtId="0" fontId="24" fillId="0" borderId="0" xfId="0" applyFont="1" applyAlignment="1">
      <alignment vertical="center" wrapText="1"/>
    </xf>
    <xf numFmtId="0" fontId="24" fillId="0" borderId="18" xfId="0" applyFont="1" applyBorder="1" applyAlignment="1">
      <alignment horizontal="center" vertical="center"/>
    </xf>
    <xf numFmtId="0" fontId="25" fillId="0" borderId="19" xfId="0" applyFont="1" applyBorder="1" applyAlignment="1">
      <alignment horizontal="justify" vertical="center" wrapText="1"/>
    </xf>
    <xf numFmtId="3" fontId="24" fillId="0" borderId="19" xfId="0" applyNumberFormat="1" applyFont="1" applyBorder="1" applyAlignment="1">
      <alignment horizontal="center" vertical="center" wrapText="1"/>
    </xf>
    <xf numFmtId="41" fontId="24" fillId="0" borderId="19" xfId="1" applyFont="1" applyBorder="1" applyAlignment="1">
      <alignment wrapText="1"/>
    </xf>
    <xf numFmtId="0" fontId="24" fillId="0" borderId="0" xfId="0" applyFont="1" applyAlignment="1">
      <alignment wrapText="1"/>
    </xf>
    <xf numFmtId="41" fontId="24" fillId="0" borderId="5" xfId="1" applyFont="1" applyBorder="1" applyAlignment="1">
      <alignment horizontal="center" vertical="center" wrapText="1"/>
    </xf>
    <xf numFmtId="41" fontId="24" fillId="0" borderId="19" xfId="0" applyNumberFormat="1" applyFont="1" applyBorder="1" applyAlignment="1">
      <alignment vertical="center" wrapText="1"/>
    </xf>
    <xf numFmtId="41" fontId="24" fillId="0" borderId="5" xfId="1" applyFont="1" applyBorder="1" applyAlignment="1">
      <alignment vertical="center" wrapText="1"/>
    </xf>
    <xf numFmtId="0" fontId="24" fillId="0" borderId="6" xfId="0" applyFont="1" applyBorder="1"/>
    <xf numFmtId="41" fontId="23" fillId="0" borderId="6" xfId="0" applyNumberFormat="1" applyFont="1" applyBorder="1"/>
    <xf numFmtId="0" fontId="23" fillId="0" borderId="6" xfId="0" applyFont="1" applyBorder="1"/>
    <xf numFmtId="41" fontId="23" fillId="0" borderId="20" xfId="0" applyNumberFormat="1" applyFont="1" applyBorder="1" applyAlignment="1">
      <alignment vertical="center"/>
    </xf>
    <xf numFmtId="0" fontId="24" fillId="0" borderId="20" xfId="0" applyFont="1" applyBorder="1"/>
    <xf numFmtId="0" fontId="23" fillId="0" borderId="2" xfId="0" applyFont="1" applyBorder="1" applyAlignment="1">
      <alignment horizontal="center" vertical="center" wrapText="1"/>
    </xf>
    <xf numFmtId="41" fontId="28" fillId="0" borderId="0" xfId="0" applyNumberFormat="1" applyFont="1"/>
    <xf numFmtId="0" fontId="26" fillId="0" borderId="0" xfId="0" applyFont="1"/>
    <xf numFmtId="41" fontId="24" fillId="0" borderId="0" xfId="0" applyNumberFormat="1" applyFont="1" applyAlignment="1">
      <alignment vertical="center"/>
    </xf>
    <xf numFmtId="41" fontId="24" fillId="0" borderId="6" xfId="1" applyFont="1" applyBorder="1"/>
    <xf numFmtId="41" fontId="24" fillId="0" borderId="20" xfId="1" applyFont="1" applyBorder="1"/>
    <xf numFmtId="41" fontId="23" fillId="0" borderId="19" xfId="0" applyNumberFormat="1" applyFont="1" applyBorder="1" applyAlignment="1">
      <alignment vertical="center" wrapText="1"/>
    </xf>
    <xf numFmtId="41" fontId="23" fillId="0" borderId="20" xfId="1" applyFont="1" applyBorder="1" applyAlignment="1">
      <alignment vertical="center"/>
    </xf>
    <xf numFmtId="3" fontId="24" fillId="0" borderId="0" xfId="0" applyNumberFormat="1" applyFont="1" applyAlignment="1">
      <alignment vertical="center"/>
    </xf>
    <xf numFmtId="0" fontId="29" fillId="9" borderId="40" xfId="0" applyFont="1" applyFill="1" applyBorder="1" applyAlignment="1">
      <alignment horizontal="center" vertical="center" wrapText="1"/>
    </xf>
    <xf numFmtId="0" fontId="24" fillId="0" borderId="37" xfId="0" applyFont="1" applyBorder="1"/>
    <xf numFmtId="0" fontId="24" fillId="0" borderId="38" xfId="0" applyFont="1" applyBorder="1"/>
    <xf numFmtId="0" fontId="24" fillId="0" borderId="40" xfId="0" applyFont="1" applyBorder="1"/>
    <xf numFmtId="41" fontId="24" fillId="0" borderId="38" xfId="1" applyNumberFormat="1" applyFont="1" applyBorder="1"/>
    <xf numFmtId="41" fontId="24" fillId="0" borderId="41" xfId="1" applyNumberFormat="1" applyFont="1" applyBorder="1"/>
    <xf numFmtId="0" fontId="23" fillId="0" borderId="28" xfId="0" applyFont="1" applyBorder="1"/>
    <xf numFmtId="0" fontId="23" fillId="0" borderId="27" xfId="0" applyFont="1" applyBorder="1"/>
    <xf numFmtId="0" fontId="23" fillId="0" borderId="35" xfId="0" applyFont="1" applyBorder="1"/>
    <xf numFmtId="0" fontId="23" fillId="0" borderId="42" xfId="0" applyFont="1" applyBorder="1"/>
    <xf numFmtId="41" fontId="23" fillId="0" borderId="27" xfId="0" applyNumberFormat="1" applyFont="1" applyBorder="1"/>
    <xf numFmtId="41" fontId="23" fillId="0" borderId="29" xfId="0" applyNumberFormat="1" applyFont="1" applyBorder="1"/>
    <xf numFmtId="0" fontId="29" fillId="9" borderId="45" xfId="0" applyFont="1" applyFill="1" applyBorder="1" applyAlignment="1">
      <alignment horizontal="center" vertical="center" wrapText="1"/>
    </xf>
    <xf numFmtId="0" fontId="24" fillId="0" borderId="45" xfId="0" applyFont="1" applyBorder="1"/>
    <xf numFmtId="0" fontId="23" fillId="0" borderId="36" xfId="0" applyFont="1" applyBorder="1"/>
    <xf numFmtId="0" fontId="31" fillId="9" borderId="39" xfId="0" applyFont="1" applyFill="1" applyBorder="1" applyAlignment="1">
      <alignment horizontal="center" vertical="center" wrapText="1"/>
    </xf>
    <xf numFmtId="0" fontId="31" fillId="9" borderId="32" xfId="0" applyFont="1" applyFill="1" applyBorder="1" applyAlignment="1">
      <alignment horizontal="center" vertical="center" wrapText="1"/>
    </xf>
    <xf numFmtId="41" fontId="24" fillId="0" borderId="45" xfId="1" applyFont="1" applyBorder="1"/>
    <xf numFmtId="41" fontId="23" fillId="0" borderId="36" xfId="1" applyFont="1" applyBorder="1"/>
    <xf numFmtId="0" fontId="24" fillId="0" borderId="19" xfId="0" applyFont="1" applyBorder="1" applyAlignment="1">
      <alignment vertical="center" wrapText="1"/>
    </xf>
    <xf numFmtId="0" fontId="13" fillId="0" borderId="12" xfId="0" applyFont="1" applyBorder="1" applyAlignment="1">
      <alignment horizontal="right"/>
    </xf>
    <xf numFmtId="0" fontId="13" fillId="0" borderId="13" xfId="0" applyFont="1" applyBorder="1" applyAlignment="1">
      <alignment horizontal="right"/>
    </xf>
    <xf numFmtId="0" fontId="13" fillId="0" borderId="14" xfId="0" applyFont="1" applyBorder="1" applyAlignment="1">
      <alignment horizontal="right"/>
    </xf>
    <xf numFmtId="0" fontId="8" fillId="0" borderId="4" xfId="0" applyFont="1" applyBorder="1" applyAlignment="1">
      <alignment vertical="center"/>
    </xf>
    <xf numFmtId="0" fontId="11" fillId="0" borderId="5" xfId="0" applyFont="1" applyBorder="1" applyAlignment="1">
      <alignment horizontal="center" vertical="center"/>
    </xf>
    <xf numFmtId="0" fontId="8" fillId="0" borderId="5" xfId="0" applyFont="1" applyBorder="1" applyAlignment="1">
      <alignment horizontal="center" vertical="center" wrapText="1"/>
    </xf>
    <xf numFmtId="41" fontId="8" fillId="0" borderId="5" xfId="0" applyNumberFormat="1" applyFont="1" applyBorder="1" applyAlignment="1">
      <alignment horizontal="center" vertical="center"/>
    </xf>
    <xf numFmtId="0" fontId="8" fillId="0" borderId="5" xfId="0" applyFont="1" applyBorder="1" applyAlignment="1">
      <alignment horizontal="center" vertical="center"/>
    </xf>
    <xf numFmtId="41" fontId="8" fillId="0" borderId="6" xfId="0" applyNumberFormat="1" applyFont="1" applyBorder="1" applyAlignment="1">
      <alignment horizontal="center" vertical="center"/>
    </xf>
    <xf numFmtId="0" fontId="8" fillId="0" borderId="6" xfId="0" applyFont="1" applyBorder="1" applyAlignment="1">
      <alignment horizontal="center" vertical="center"/>
    </xf>
    <xf numFmtId="0" fontId="7" fillId="3" borderId="10" xfId="0" applyFont="1" applyFill="1" applyBorder="1" applyAlignment="1">
      <alignment horizontal="right" vertical="center"/>
    </xf>
    <xf numFmtId="0" fontId="7" fillId="3" borderId="11" xfId="0" applyFont="1" applyFill="1" applyBorder="1" applyAlignment="1">
      <alignment horizontal="right" vertical="center"/>
    </xf>
    <xf numFmtId="41" fontId="8" fillId="0" borderId="5" xfId="0" applyNumberFormat="1" applyFont="1" applyBorder="1" applyAlignment="1">
      <alignment horizontal="right" vertical="center"/>
    </xf>
    <xf numFmtId="0" fontId="8" fillId="0" borderId="5" xfId="0" applyFont="1" applyBorder="1" applyAlignment="1">
      <alignment horizontal="right" vertical="center"/>
    </xf>
    <xf numFmtId="41" fontId="8" fillId="0" borderId="7" xfId="0" applyNumberFormat="1" applyFont="1" applyBorder="1" applyAlignment="1">
      <alignment horizontal="center" vertical="center"/>
    </xf>
    <xf numFmtId="41" fontId="8" fillId="0" borderId="8" xfId="0" applyNumberFormat="1" applyFont="1" applyBorder="1" applyAlignment="1">
      <alignment horizontal="center" vertical="center"/>
    </xf>
    <xf numFmtId="41" fontId="8" fillId="0" borderId="9" xfId="0" applyNumberFormat="1" applyFont="1" applyBorder="1" applyAlignment="1">
      <alignment horizontal="center" vertical="center"/>
    </xf>
    <xf numFmtId="0" fontId="7" fillId="3" borderId="4" xfId="0" applyFont="1" applyFill="1" applyBorder="1" applyAlignment="1">
      <alignment horizontal="right" vertical="center"/>
    </xf>
    <xf numFmtId="0" fontId="7" fillId="3" borderId="5" xfId="0" applyFont="1" applyFill="1" applyBorder="1" applyAlignment="1">
      <alignment horizontal="right"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15" fillId="7" borderId="1" xfId="0" applyFont="1" applyFill="1" applyBorder="1" applyAlignment="1">
      <alignment horizontal="center"/>
    </xf>
    <xf numFmtId="0" fontId="15" fillId="7" borderId="2" xfId="0" applyFont="1" applyFill="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xf>
    <xf numFmtId="0" fontId="16" fillId="0" borderId="24" xfId="0" applyFont="1" applyBorder="1" applyAlignment="1">
      <alignment horizontal="center"/>
    </xf>
    <xf numFmtId="0" fontId="23" fillId="0" borderId="3" xfId="0" applyFont="1" applyBorder="1" applyAlignment="1">
      <alignment horizontal="center" vertical="center" wrapText="1"/>
    </xf>
    <xf numFmtId="0" fontId="23" fillId="0" borderId="6" xfId="0" applyFont="1" applyBorder="1" applyAlignment="1">
      <alignment horizontal="center" vertical="center" wrapText="1"/>
    </xf>
    <xf numFmtId="0" fontId="26" fillId="0" borderId="0" xfId="0" applyFont="1" applyAlignment="1">
      <alignment horizontal="center" wrapText="1"/>
    </xf>
    <xf numFmtId="0" fontId="23" fillId="0" borderId="2" xfId="0" applyFont="1" applyBorder="1" applyAlignment="1">
      <alignment horizontal="center" vertical="center" wrapText="1"/>
    </xf>
    <xf numFmtId="0" fontId="24" fillId="0" borderId="19" xfId="0" applyFont="1" applyBorder="1" applyAlignment="1">
      <alignment horizontal="center" vertical="center" wrapText="1"/>
    </xf>
    <xf numFmtId="0" fontId="23" fillId="0" borderId="25"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3" fillId="0" borderId="3" xfId="0" applyFont="1" applyBorder="1" applyAlignment="1">
      <alignment horizontal="center" vertical="center"/>
    </xf>
    <xf numFmtId="0" fontId="23" fillId="0" borderId="6" xfId="0" applyFont="1" applyBorder="1" applyAlignment="1">
      <alignment horizontal="center" vertical="center"/>
    </xf>
    <xf numFmtId="0" fontId="16" fillId="0" borderId="0" xfId="0" applyFont="1" applyAlignment="1">
      <alignment horizontal="center" vertical="center"/>
    </xf>
    <xf numFmtId="0" fontId="27" fillId="0" borderId="22" xfId="0" applyFont="1" applyBorder="1" applyAlignment="1">
      <alignment horizontal="center" vertical="center"/>
    </xf>
    <xf numFmtId="0" fontId="27" fillId="0" borderId="23" xfId="0" applyFont="1" applyBorder="1" applyAlignment="1">
      <alignment horizontal="center" vertical="center"/>
    </xf>
    <xf numFmtId="0" fontId="27" fillId="0" borderId="24" xfId="0" applyFont="1" applyBorder="1" applyAlignment="1">
      <alignment horizontal="center" vertical="center"/>
    </xf>
    <xf numFmtId="0" fontId="29" fillId="10" borderId="30" xfId="0" applyFont="1" applyFill="1" applyBorder="1" applyAlignment="1">
      <alignment horizontal="center"/>
    </xf>
    <xf numFmtId="0" fontId="29" fillId="10" borderId="31" xfId="0" applyFont="1" applyFill="1" applyBorder="1" applyAlignment="1">
      <alignment horizontal="center"/>
    </xf>
    <xf numFmtId="0" fontId="29" fillId="9" borderId="0" xfId="0" applyFont="1" applyFill="1" applyBorder="1" applyAlignment="1">
      <alignment horizontal="center" vertical="center" wrapText="1"/>
    </xf>
    <xf numFmtId="0" fontId="29" fillId="9" borderId="43" xfId="0" applyFont="1" applyFill="1" applyBorder="1" applyAlignment="1">
      <alignment horizontal="center" vertical="center" wrapText="1"/>
    </xf>
    <xf numFmtId="0" fontId="29" fillId="9" borderId="34" xfId="0" applyFont="1" applyFill="1" applyBorder="1" applyAlignment="1">
      <alignment horizontal="center" vertical="center" wrapText="1"/>
    </xf>
    <xf numFmtId="0" fontId="29" fillId="9" borderId="44" xfId="0" applyFont="1" applyFill="1" applyBorder="1" applyAlignment="1">
      <alignment horizontal="center" vertical="center" wrapText="1"/>
    </xf>
    <xf numFmtId="0" fontId="29" fillId="9" borderId="33" xfId="0" applyFont="1" applyFill="1" applyBorder="1" applyAlignment="1">
      <alignment horizontal="center" vertical="center" wrapText="1"/>
    </xf>
    <xf numFmtId="0" fontId="29" fillId="9" borderId="46" xfId="0" applyFont="1" applyFill="1" applyBorder="1" applyAlignment="1">
      <alignment horizontal="center" vertical="center" wrapText="1"/>
    </xf>
  </cellXfs>
  <cellStyles count="2">
    <cellStyle name="Milliers [0]" xfId="1" builtinId="6"/>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44"/>
  <sheetViews>
    <sheetView view="pageBreakPreview" topLeftCell="A54" zoomScale="130" zoomScaleNormal="100" zoomScaleSheetLayoutView="130" workbookViewId="0">
      <selection activeCell="A60" sqref="A60:E71"/>
    </sheetView>
  </sheetViews>
  <sheetFormatPr baseColWidth="10" defaultRowHeight="14.4" x14ac:dyDescent="0.55000000000000004"/>
  <cols>
    <col min="1" max="1" width="13.41796875" customWidth="1"/>
    <col min="2" max="2" width="53.578125" customWidth="1"/>
    <col min="4" max="4" width="12.578125" customWidth="1"/>
    <col min="5" max="5" width="14.41796875" customWidth="1"/>
    <col min="6" max="6" width="16.41796875" customWidth="1"/>
  </cols>
  <sheetData>
    <row r="1" spans="1:6" ht="23.25" customHeight="1" x14ac:dyDescent="0.55000000000000004">
      <c r="A1" s="172" t="s">
        <v>0</v>
      </c>
      <c r="B1" s="172"/>
      <c r="C1" s="172"/>
      <c r="D1" s="172"/>
      <c r="E1" s="172"/>
      <c r="F1" s="172"/>
    </row>
    <row r="2" spans="1:6" ht="8.25" customHeight="1" x14ac:dyDescent="0.55000000000000004">
      <c r="A2" s="1"/>
      <c r="B2" s="2"/>
      <c r="C2" s="2"/>
      <c r="D2" s="2"/>
      <c r="E2" s="2"/>
      <c r="F2" s="2"/>
    </row>
    <row r="3" spans="1:6" ht="27.75" customHeight="1" x14ac:dyDescent="0.55000000000000004">
      <c r="A3" s="173" t="s">
        <v>1</v>
      </c>
      <c r="B3" s="173"/>
      <c r="C3" s="173"/>
      <c r="D3" s="173"/>
      <c r="E3" s="173"/>
      <c r="F3" s="173"/>
    </row>
    <row r="4" spans="1:6" ht="14.7" thickBot="1" x14ac:dyDescent="0.6">
      <c r="A4" s="3"/>
    </row>
    <row r="5" spans="1:6" ht="37.5" customHeight="1" x14ac:dyDescent="0.55000000000000004">
      <c r="A5" s="4" t="s">
        <v>2</v>
      </c>
      <c r="B5" s="5" t="s">
        <v>3</v>
      </c>
      <c r="C5" s="6" t="s">
        <v>4</v>
      </c>
      <c r="D5" s="5" t="s">
        <v>5</v>
      </c>
      <c r="E5" s="5" t="s">
        <v>6</v>
      </c>
      <c r="F5" s="7" t="s">
        <v>7</v>
      </c>
    </row>
    <row r="6" spans="1:6" x14ac:dyDescent="0.55000000000000004">
      <c r="A6" s="8" t="s">
        <v>8</v>
      </c>
      <c r="B6" s="9" t="s">
        <v>9</v>
      </c>
      <c r="C6" s="10"/>
      <c r="D6" s="9"/>
      <c r="E6" s="10"/>
      <c r="F6" s="11"/>
    </row>
    <row r="7" spans="1:6" ht="24.6" x14ac:dyDescent="0.55000000000000004">
      <c r="A7" s="12" t="s">
        <v>10</v>
      </c>
      <c r="B7" s="13" t="s">
        <v>11</v>
      </c>
      <c r="C7" s="14" t="s">
        <v>12</v>
      </c>
      <c r="D7" s="15">
        <v>1</v>
      </c>
      <c r="E7" s="16">
        <v>50000000</v>
      </c>
      <c r="F7" s="17">
        <f>D7*E7</f>
        <v>50000000</v>
      </c>
    </row>
    <row r="8" spans="1:6" x14ac:dyDescent="0.55000000000000004">
      <c r="A8" s="170" t="s">
        <v>13</v>
      </c>
      <c r="B8" s="171"/>
      <c r="C8" s="171"/>
      <c r="D8" s="171"/>
      <c r="E8" s="18"/>
      <c r="F8" s="19">
        <f>SUM(F7)</f>
        <v>50000000</v>
      </c>
    </row>
    <row r="9" spans="1:6" x14ac:dyDescent="0.55000000000000004">
      <c r="A9" s="8" t="s">
        <v>14</v>
      </c>
      <c r="B9" s="9" t="s">
        <v>15</v>
      </c>
      <c r="C9" s="10"/>
      <c r="D9" s="9"/>
      <c r="E9" s="10"/>
      <c r="F9" s="11"/>
    </row>
    <row r="10" spans="1:6" x14ac:dyDescent="0.55000000000000004">
      <c r="A10" s="8" t="s">
        <v>16</v>
      </c>
      <c r="B10" s="20" t="s">
        <v>17</v>
      </c>
      <c r="C10" s="14"/>
      <c r="D10" s="15"/>
      <c r="E10" s="21"/>
      <c r="F10" s="22"/>
    </row>
    <row r="11" spans="1:6" x14ac:dyDescent="0.55000000000000004">
      <c r="A11" s="12" t="s">
        <v>18</v>
      </c>
      <c r="B11" s="13" t="s">
        <v>19</v>
      </c>
      <c r="C11" s="14" t="s">
        <v>20</v>
      </c>
      <c r="D11" s="23">
        <v>20400</v>
      </c>
      <c r="E11" s="21">
        <v>200</v>
      </c>
      <c r="F11" s="24">
        <f>D11*E11</f>
        <v>4080000</v>
      </c>
    </row>
    <row r="12" spans="1:6" x14ac:dyDescent="0.55000000000000004">
      <c r="A12" s="12" t="s">
        <v>21</v>
      </c>
      <c r="B12" s="13" t="s">
        <v>22</v>
      </c>
      <c r="C12" s="14" t="s">
        <v>23</v>
      </c>
      <c r="D12" s="23">
        <v>1500</v>
      </c>
      <c r="E12" s="21">
        <v>4000</v>
      </c>
      <c r="F12" s="24">
        <f t="shared" ref="F12:F16" si="0">D12*E12</f>
        <v>6000000</v>
      </c>
    </row>
    <row r="13" spans="1:6" x14ac:dyDescent="0.55000000000000004">
      <c r="A13" s="12" t="s">
        <v>24</v>
      </c>
      <c r="B13" s="25" t="s">
        <v>25</v>
      </c>
      <c r="C13" s="14" t="s">
        <v>20</v>
      </c>
      <c r="D13" s="26">
        <v>20400</v>
      </c>
      <c r="E13" s="27">
        <v>400</v>
      </c>
      <c r="F13" s="24">
        <f t="shared" si="0"/>
        <v>8160000</v>
      </c>
    </row>
    <row r="14" spans="1:6" x14ac:dyDescent="0.55000000000000004">
      <c r="A14" s="8" t="s">
        <v>26</v>
      </c>
      <c r="B14" s="9" t="s">
        <v>27</v>
      </c>
      <c r="C14" s="28"/>
      <c r="D14" s="29"/>
      <c r="E14" s="30"/>
      <c r="F14" s="24"/>
    </row>
    <row r="15" spans="1:6" x14ac:dyDescent="0.55000000000000004">
      <c r="A15" s="12" t="s">
        <v>28</v>
      </c>
      <c r="B15" s="25" t="s">
        <v>29</v>
      </c>
      <c r="C15" s="14" t="s">
        <v>20</v>
      </c>
      <c r="D15" s="26">
        <v>10800</v>
      </c>
      <c r="E15" s="21">
        <v>3000</v>
      </c>
      <c r="F15" s="24">
        <f t="shared" si="0"/>
        <v>32400000</v>
      </c>
    </row>
    <row r="16" spans="1:6" x14ac:dyDescent="0.55000000000000004">
      <c r="A16" s="12" t="s">
        <v>30</v>
      </c>
      <c r="B16" s="25" t="s">
        <v>31</v>
      </c>
      <c r="C16" s="14" t="s">
        <v>23</v>
      </c>
      <c r="D16" s="15">
        <v>200</v>
      </c>
      <c r="E16" s="31">
        <v>20000</v>
      </c>
      <c r="F16" s="24">
        <f t="shared" si="0"/>
        <v>4000000</v>
      </c>
    </row>
    <row r="17" spans="1:6" x14ac:dyDescent="0.55000000000000004">
      <c r="A17" s="170" t="s">
        <v>32</v>
      </c>
      <c r="B17" s="171"/>
      <c r="C17" s="171"/>
      <c r="D17" s="171"/>
      <c r="E17" s="18"/>
      <c r="F17" s="19">
        <f>SUM(F11:F16)</f>
        <v>54640000</v>
      </c>
    </row>
    <row r="18" spans="1:6" ht="24.6" x14ac:dyDescent="0.55000000000000004">
      <c r="A18" s="8" t="s">
        <v>33</v>
      </c>
      <c r="B18" s="9" t="s">
        <v>34</v>
      </c>
      <c r="C18" s="10"/>
      <c r="D18" s="32"/>
      <c r="E18" s="32"/>
      <c r="F18" s="33"/>
    </row>
    <row r="19" spans="1:6" x14ac:dyDescent="0.55000000000000004">
      <c r="A19" s="8" t="s">
        <v>35</v>
      </c>
      <c r="B19" s="9" t="s">
        <v>36</v>
      </c>
      <c r="C19" s="14"/>
      <c r="D19" s="14"/>
      <c r="E19" s="14"/>
      <c r="F19" s="34"/>
    </row>
    <row r="20" spans="1:6" ht="24.6" x14ac:dyDescent="0.55000000000000004">
      <c r="A20" s="12" t="s">
        <v>37</v>
      </c>
      <c r="B20" s="35" t="s">
        <v>38</v>
      </c>
      <c r="C20" s="14" t="s">
        <v>23</v>
      </c>
      <c r="D20" s="26">
        <v>1250</v>
      </c>
      <c r="E20" s="36">
        <v>3200</v>
      </c>
      <c r="F20" s="17">
        <f>D20*E20</f>
        <v>4000000</v>
      </c>
    </row>
    <row r="21" spans="1:6" x14ac:dyDescent="0.55000000000000004">
      <c r="A21" s="12" t="s">
        <v>39</v>
      </c>
      <c r="B21" s="35" t="s">
        <v>40</v>
      </c>
      <c r="C21" s="14" t="s">
        <v>23</v>
      </c>
      <c r="D21" s="15">
        <v>220</v>
      </c>
      <c r="E21" s="36">
        <v>3100</v>
      </c>
      <c r="F21" s="17">
        <f t="shared" ref="F21:F58" si="1">D21*E21</f>
        <v>682000</v>
      </c>
    </row>
    <row r="22" spans="1:6" x14ac:dyDescent="0.55000000000000004">
      <c r="A22" s="12" t="s">
        <v>41</v>
      </c>
      <c r="B22" s="37" t="s">
        <v>42</v>
      </c>
      <c r="C22" s="14" t="s">
        <v>23</v>
      </c>
      <c r="D22" s="15">
        <v>25</v>
      </c>
      <c r="E22" s="36">
        <v>80000</v>
      </c>
      <c r="F22" s="17">
        <f t="shared" si="1"/>
        <v>2000000</v>
      </c>
    </row>
    <row r="23" spans="1:6" x14ac:dyDescent="0.55000000000000004">
      <c r="A23" s="12" t="s">
        <v>43</v>
      </c>
      <c r="B23" s="37" t="s">
        <v>44</v>
      </c>
      <c r="C23" s="14" t="s">
        <v>23</v>
      </c>
      <c r="D23" s="15">
        <v>50</v>
      </c>
      <c r="E23" s="36">
        <v>120000</v>
      </c>
      <c r="F23" s="17">
        <f t="shared" si="1"/>
        <v>6000000</v>
      </c>
    </row>
    <row r="24" spans="1:6" x14ac:dyDescent="0.55000000000000004">
      <c r="A24" s="12" t="s">
        <v>45</v>
      </c>
      <c r="B24" s="37" t="s">
        <v>46</v>
      </c>
      <c r="C24" s="14" t="s">
        <v>20</v>
      </c>
      <c r="D24" s="15">
        <v>25</v>
      </c>
      <c r="E24" s="36">
        <v>7000</v>
      </c>
      <c r="F24" s="17">
        <f t="shared" si="1"/>
        <v>175000</v>
      </c>
    </row>
    <row r="25" spans="1:6" x14ac:dyDescent="0.55000000000000004">
      <c r="A25" s="12" t="s">
        <v>47</v>
      </c>
      <c r="B25" s="37" t="s">
        <v>48</v>
      </c>
      <c r="C25" s="14" t="s">
        <v>49</v>
      </c>
      <c r="D25" s="26">
        <v>4500</v>
      </c>
      <c r="E25" s="38">
        <v>1150</v>
      </c>
      <c r="F25" s="17">
        <f t="shared" si="1"/>
        <v>5175000</v>
      </c>
    </row>
    <row r="26" spans="1:6" x14ac:dyDescent="0.55000000000000004">
      <c r="A26" s="8" t="s">
        <v>50</v>
      </c>
      <c r="B26" s="39" t="s">
        <v>51</v>
      </c>
      <c r="C26" s="14"/>
      <c r="D26" s="14"/>
      <c r="E26" s="40"/>
      <c r="F26" s="17">
        <f t="shared" si="1"/>
        <v>0</v>
      </c>
    </row>
    <row r="27" spans="1:6" ht="24.6" x14ac:dyDescent="0.55000000000000004">
      <c r="A27" s="12" t="s">
        <v>37</v>
      </c>
      <c r="B27" s="35" t="s">
        <v>52</v>
      </c>
      <c r="C27" s="14" t="s">
        <v>23</v>
      </c>
      <c r="D27" s="15">
        <v>40</v>
      </c>
      <c r="E27" s="36">
        <v>3200</v>
      </c>
      <c r="F27" s="17">
        <f t="shared" si="1"/>
        <v>128000</v>
      </c>
    </row>
    <row r="28" spans="1:6" x14ac:dyDescent="0.55000000000000004">
      <c r="A28" s="12" t="s">
        <v>39</v>
      </c>
      <c r="B28" s="35" t="s">
        <v>40</v>
      </c>
      <c r="C28" s="14" t="s">
        <v>23</v>
      </c>
      <c r="D28" s="15">
        <v>20</v>
      </c>
      <c r="E28" s="36">
        <v>3100</v>
      </c>
      <c r="F28" s="17">
        <f t="shared" si="1"/>
        <v>62000</v>
      </c>
    </row>
    <row r="29" spans="1:6" x14ac:dyDescent="0.55000000000000004">
      <c r="A29" s="12" t="s">
        <v>41</v>
      </c>
      <c r="B29" s="37" t="s">
        <v>42</v>
      </c>
      <c r="C29" s="14" t="s">
        <v>23</v>
      </c>
      <c r="D29" s="15">
        <v>15</v>
      </c>
      <c r="E29" s="36">
        <v>80000</v>
      </c>
      <c r="F29" s="17">
        <f t="shared" si="1"/>
        <v>1200000</v>
      </c>
    </row>
    <row r="30" spans="1:6" x14ac:dyDescent="0.55000000000000004">
      <c r="A30" s="12" t="s">
        <v>43</v>
      </c>
      <c r="B30" s="37" t="s">
        <v>44</v>
      </c>
      <c r="C30" s="14" t="s">
        <v>23</v>
      </c>
      <c r="D30" s="15">
        <v>45</v>
      </c>
      <c r="E30" s="36">
        <v>120000</v>
      </c>
      <c r="F30" s="17">
        <f t="shared" si="1"/>
        <v>5400000</v>
      </c>
    </row>
    <row r="31" spans="1:6" x14ac:dyDescent="0.55000000000000004">
      <c r="A31" s="12" t="s">
        <v>45</v>
      </c>
      <c r="B31" s="37" t="s">
        <v>53</v>
      </c>
      <c r="C31" s="14" t="s">
        <v>20</v>
      </c>
      <c r="D31" s="15">
        <v>200</v>
      </c>
      <c r="E31" s="36">
        <v>7000</v>
      </c>
      <c r="F31" s="17">
        <f t="shared" si="1"/>
        <v>1400000</v>
      </c>
    </row>
    <row r="32" spans="1:6" x14ac:dyDescent="0.55000000000000004">
      <c r="A32" s="12" t="s">
        <v>47</v>
      </c>
      <c r="B32" s="37" t="s">
        <v>48</v>
      </c>
      <c r="C32" s="14" t="s">
        <v>49</v>
      </c>
      <c r="D32" s="26">
        <v>3150</v>
      </c>
      <c r="E32" s="38">
        <v>1150</v>
      </c>
      <c r="F32" s="17">
        <f t="shared" si="1"/>
        <v>3622500</v>
      </c>
    </row>
    <row r="33" spans="1:6" x14ac:dyDescent="0.55000000000000004">
      <c r="A33" s="8" t="s">
        <v>54</v>
      </c>
      <c r="B33" s="9" t="s">
        <v>55</v>
      </c>
      <c r="C33" s="14"/>
      <c r="D33" s="14"/>
      <c r="E33" s="40"/>
      <c r="F33" s="17">
        <f t="shared" si="1"/>
        <v>0</v>
      </c>
    </row>
    <row r="34" spans="1:6" ht="24.6" x14ac:dyDescent="0.55000000000000004">
      <c r="A34" s="12" t="s">
        <v>37</v>
      </c>
      <c r="B34" s="35" t="s">
        <v>52</v>
      </c>
      <c r="C34" s="14" t="s">
        <v>23</v>
      </c>
      <c r="D34" s="15">
        <v>50</v>
      </c>
      <c r="E34" s="36">
        <v>3200</v>
      </c>
      <c r="F34" s="17">
        <f t="shared" si="1"/>
        <v>160000</v>
      </c>
    </row>
    <row r="35" spans="1:6" x14ac:dyDescent="0.55000000000000004">
      <c r="A35" s="12" t="s">
        <v>39</v>
      </c>
      <c r="B35" s="35" t="s">
        <v>40</v>
      </c>
      <c r="C35" s="14" t="s">
        <v>23</v>
      </c>
      <c r="D35" s="15">
        <v>10</v>
      </c>
      <c r="E35" s="36">
        <v>3100</v>
      </c>
      <c r="F35" s="17">
        <f t="shared" si="1"/>
        <v>31000</v>
      </c>
    </row>
    <row r="36" spans="1:6" x14ac:dyDescent="0.55000000000000004">
      <c r="A36" s="12" t="s">
        <v>41</v>
      </c>
      <c r="B36" s="37" t="s">
        <v>42</v>
      </c>
      <c r="C36" s="14" t="s">
        <v>23</v>
      </c>
      <c r="D36" s="15">
        <v>5</v>
      </c>
      <c r="E36" s="36">
        <v>80000</v>
      </c>
      <c r="F36" s="17">
        <f t="shared" si="1"/>
        <v>400000</v>
      </c>
    </row>
    <row r="37" spans="1:6" x14ac:dyDescent="0.55000000000000004">
      <c r="A37" s="12" t="s">
        <v>43</v>
      </c>
      <c r="B37" s="35" t="s">
        <v>44</v>
      </c>
      <c r="C37" s="14" t="s">
        <v>23</v>
      </c>
      <c r="D37" s="15">
        <v>15</v>
      </c>
      <c r="E37" s="36">
        <v>120000</v>
      </c>
      <c r="F37" s="17">
        <f t="shared" si="1"/>
        <v>1800000</v>
      </c>
    </row>
    <row r="38" spans="1:6" x14ac:dyDescent="0.55000000000000004">
      <c r="A38" s="12" t="s">
        <v>45</v>
      </c>
      <c r="B38" s="37" t="s">
        <v>53</v>
      </c>
      <c r="C38" s="14" t="s">
        <v>20</v>
      </c>
      <c r="D38" s="15">
        <v>20</v>
      </c>
      <c r="E38" s="36">
        <v>7000</v>
      </c>
      <c r="F38" s="17">
        <f t="shared" si="1"/>
        <v>140000</v>
      </c>
    </row>
    <row r="39" spans="1:6" x14ac:dyDescent="0.55000000000000004">
      <c r="A39" s="12" t="s">
        <v>47</v>
      </c>
      <c r="B39" s="37" t="s">
        <v>48</v>
      </c>
      <c r="C39" s="14" t="s">
        <v>49</v>
      </c>
      <c r="D39" s="26">
        <v>1050</v>
      </c>
      <c r="E39" s="38">
        <v>1150</v>
      </c>
      <c r="F39" s="17">
        <f t="shared" si="1"/>
        <v>1207500</v>
      </c>
    </row>
    <row r="40" spans="1:6" x14ac:dyDescent="0.55000000000000004">
      <c r="A40" s="8" t="s">
        <v>56</v>
      </c>
      <c r="B40" s="39" t="s">
        <v>57</v>
      </c>
      <c r="C40" s="14"/>
      <c r="D40" s="14"/>
      <c r="E40" s="40"/>
      <c r="F40" s="17">
        <f t="shared" si="1"/>
        <v>0</v>
      </c>
    </row>
    <row r="41" spans="1:6" ht="24.6" x14ac:dyDescent="0.55000000000000004">
      <c r="A41" s="12" t="s">
        <v>37</v>
      </c>
      <c r="B41" s="35" t="s">
        <v>52</v>
      </c>
      <c r="C41" s="14" t="s">
        <v>23</v>
      </c>
      <c r="D41" s="15">
        <v>10</v>
      </c>
      <c r="E41" s="36">
        <v>3200</v>
      </c>
      <c r="F41" s="17">
        <f t="shared" si="1"/>
        <v>32000</v>
      </c>
    </row>
    <row r="42" spans="1:6" x14ac:dyDescent="0.55000000000000004">
      <c r="A42" s="12" t="s">
        <v>39</v>
      </c>
      <c r="B42" s="35" t="s">
        <v>40</v>
      </c>
      <c r="C42" s="14" t="s">
        <v>23</v>
      </c>
      <c r="D42" s="15">
        <v>5</v>
      </c>
      <c r="E42" s="36">
        <v>3100</v>
      </c>
      <c r="F42" s="17">
        <f t="shared" si="1"/>
        <v>15500</v>
      </c>
    </row>
    <row r="43" spans="1:6" x14ac:dyDescent="0.55000000000000004">
      <c r="A43" s="12" t="s">
        <v>41</v>
      </c>
      <c r="B43" s="37" t="s">
        <v>58</v>
      </c>
      <c r="C43" s="14" t="s">
        <v>23</v>
      </c>
      <c r="D43" s="15">
        <v>2</v>
      </c>
      <c r="E43" s="36">
        <v>80000</v>
      </c>
      <c r="F43" s="17">
        <f t="shared" si="1"/>
        <v>160000</v>
      </c>
    </row>
    <row r="44" spans="1:6" x14ac:dyDescent="0.55000000000000004">
      <c r="A44" s="12" t="s">
        <v>43</v>
      </c>
      <c r="B44" s="35" t="s">
        <v>44</v>
      </c>
      <c r="C44" s="14" t="s">
        <v>23</v>
      </c>
      <c r="D44" s="15">
        <v>5</v>
      </c>
      <c r="E44" s="36">
        <v>120000</v>
      </c>
      <c r="F44" s="17">
        <f t="shared" si="1"/>
        <v>600000</v>
      </c>
    </row>
    <row r="45" spans="1:6" x14ac:dyDescent="0.55000000000000004">
      <c r="A45" s="12" t="s">
        <v>45</v>
      </c>
      <c r="B45" s="37" t="s">
        <v>53</v>
      </c>
      <c r="C45" s="14" t="s">
        <v>20</v>
      </c>
      <c r="D45" s="15">
        <v>15</v>
      </c>
      <c r="E45" s="36">
        <v>7000</v>
      </c>
      <c r="F45" s="17">
        <f t="shared" si="1"/>
        <v>105000</v>
      </c>
    </row>
    <row r="46" spans="1:6" x14ac:dyDescent="0.55000000000000004">
      <c r="A46" s="12" t="s">
        <v>47</v>
      </c>
      <c r="B46" s="37" t="s">
        <v>48</v>
      </c>
      <c r="C46" s="14" t="s">
        <v>49</v>
      </c>
      <c r="D46" s="15">
        <v>350</v>
      </c>
      <c r="E46" s="38">
        <v>1150</v>
      </c>
      <c r="F46" s="17">
        <f t="shared" si="1"/>
        <v>402500</v>
      </c>
    </row>
    <row r="47" spans="1:6" x14ac:dyDescent="0.55000000000000004">
      <c r="A47" s="8" t="s">
        <v>59</v>
      </c>
      <c r="B47" s="39" t="s">
        <v>60</v>
      </c>
      <c r="C47" s="14"/>
      <c r="D47" s="14"/>
      <c r="E47" s="40"/>
      <c r="F47" s="17">
        <f t="shared" si="1"/>
        <v>0</v>
      </c>
    </row>
    <row r="48" spans="1:6" ht="24.6" x14ac:dyDescent="0.55000000000000004">
      <c r="A48" s="12" t="s">
        <v>37</v>
      </c>
      <c r="B48" s="35" t="s">
        <v>52</v>
      </c>
      <c r="C48" s="14" t="s">
        <v>23</v>
      </c>
      <c r="D48" s="15">
        <v>280</v>
      </c>
      <c r="E48" s="36">
        <v>3200</v>
      </c>
      <c r="F48" s="17">
        <f t="shared" si="1"/>
        <v>896000</v>
      </c>
    </row>
    <row r="49" spans="1:6" x14ac:dyDescent="0.55000000000000004">
      <c r="A49" s="12" t="s">
        <v>39</v>
      </c>
      <c r="B49" s="35" t="s">
        <v>40</v>
      </c>
      <c r="C49" s="14" t="s">
        <v>23</v>
      </c>
      <c r="D49" s="15">
        <v>105</v>
      </c>
      <c r="E49" s="36">
        <v>3100</v>
      </c>
      <c r="F49" s="17">
        <f t="shared" si="1"/>
        <v>325500</v>
      </c>
    </row>
    <row r="50" spans="1:6" x14ac:dyDescent="0.55000000000000004">
      <c r="A50" s="12" t="s">
        <v>41</v>
      </c>
      <c r="B50" s="37" t="s">
        <v>58</v>
      </c>
      <c r="C50" s="14" t="s">
        <v>23</v>
      </c>
      <c r="D50" s="15">
        <v>10</v>
      </c>
      <c r="E50" s="36">
        <v>80000</v>
      </c>
      <c r="F50" s="17">
        <f t="shared" si="1"/>
        <v>800000</v>
      </c>
    </row>
    <row r="51" spans="1:6" x14ac:dyDescent="0.55000000000000004">
      <c r="A51" s="12" t="s">
        <v>43</v>
      </c>
      <c r="B51" s="35" t="s">
        <v>44</v>
      </c>
      <c r="C51" s="14" t="s">
        <v>23</v>
      </c>
      <c r="D51" s="15">
        <v>60</v>
      </c>
      <c r="E51" s="36">
        <v>120000</v>
      </c>
      <c r="F51" s="17">
        <f t="shared" si="1"/>
        <v>7200000</v>
      </c>
    </row>
    <row r="52" spans="1:6" x14ac:dyDescent="0.55000000000000004">
      <c r="A52" s="12" t="s">
        <v>45</v>
      </c>
      <c r="B52" s="37" t="s">
        <v>53</v>
      </c>
      <c r="C52" s="14" t="s">
        <v>20</v>
      </c>
      <c r="D52" s="15">
        <v>275</v>
      </c>
      <c r="E52" s="36">
        <v>7000</v>
      </c>
      <c r="F52" s="17">
        <f t="shared" si="1"/>
        <v>1925000</v>
      </c>
    </row>
    <row r="53" spans="1:6" x14ac:dyDescent="0.55000000000000004">
      <c r="A53" s="12" t="s">
        <v>47</v>
      </c>
      <c r="B53" s="37" t="s">
        <v>48</v>
      </c>
      <c r="C53" s="14" t="s">
        <v>49</v>
      </c>
      <c r="D53" s="26">
        <v>5400</v>
      </c>
      <c r="E53" s="38">
        <v>1150</v>
      </c>
      <c r="F53" s="17">
        <f t="shared" si="1"/>
        <v>6210000</v>
      </c>
    </row>
    <row r="54" spans="1:6" x14ac:dyDescent="0.55000000000000004">
      <c r="A54" s="8" t="s">
        <v>61</v>
      </c>
      <c r="B54" s="39" t="s">
        <v>62</v>
      </c>
      <c r="C54" s="14"/>
      <c r="D54" s="14"/>
      <c r="E54" s="40"/>
      <c r="F54" s="17">
        <f t="shared" si="1"/>
        <v>0</v>
      </c>
    </row>
    <row r="55" spans="1:6" ht="24.6" x14ac:dyDescent="0.55000000000000004">
      <c r="A55" s="12" t="s">
        <v>63</v>
      </c>
      <c r="B55" s="37" t="s">
        <v>64</v>
      </c>
      <c r="C55" s="14" t="s">
        <v>65</v>
      </c>
      <c r="D55" s="15">
        <v>4</v>
      </c>
      <c r="E55" s="40">
        <v>800000</v>
      </c>
      <c r="F55" s="17">
        <f t="shared" si="1"/>
        <v>3200000</v>
      </c>
    </row>
    <row r="56" spans="1:6" ht="36.9" x14ac:dyDescent="0.55000000000000004">
      <c r="A56" s="12" t="s">
        <v>66</v>
      </c>
      <c r="B56" s="37" t="s">
        <v>67</v>
      </c>
      <c r="C56" s="14" t="s">
        <v>65</v>
      </c>
      <c r="D56" s="15">
        <v>4</v>
      </c>
      <c r="E56" s="36">
        <v>1000000</v>
      </c>
      <c r="F56" s="17">
        <f t="shared" si="1"/>
        <v>4000000</v>
      </c>
    </row>
    <row r="57" spans="1:6" ht="24.6" x14ac:dyDescent="0.55000000000000004">
      <c r="A57" s="12" t="s">
        <v>68</v>
      </c>
      <c r="B57" s="37" t="s">
        <v>69</v>
      </c>
      <c r="C57" s="14" t="s">
        <v>65</v>
      </c>
      <c r="D57" s="15">
        <v>36</v>
      </c>
      <c r="E57" s="36">
        <v>1200000</v>
      </c>
      <c r="F57" s="17">
        <f t="shared" si="1"/>
        <v>43200000</v>
      </c>
    </row>
    <row r="58" spans="1:6" ht="36.9" x14ac:dyDescent="0.55000000000000004">
      <c r="A58" s="12" t="s">
        <v>70</v>
      </c>
      <c r="B58" s="37" t="s">
        <v>71</v>
      </c>
      <c r="C58" s="14" t="s">
        <v>65</v>
      </c>
      <c r="D58" s="15">
        <v>4</v>
      </c>
      <c r="E58" s="36">
        <v>1700000</v>
      </c>
      <c r="F58" s="17">
        <f t="shared" si="1"/>
        <v>6800000</v>
      </c>
    </row>
    <row r="59" spans="1:6" x14ac:dyDescent="0.55000000000000004">
      <c r="A59" s="170" t="s">
        <v>72</v>
      </c>
      <c r="B59" s="171"/>
      <c r="C59" s="171"/>
      <c r="D59" s="171"/>
      <c r="E59" s="18"/>
      <c r="F59" s="19">
        <f>SUM(F20:F58)</f>
        <v>109454500</v>
      </c>
    </row>
    <row r="60" spans="1:6" x14ac:dyDescent="0.55000000000000004">
      <c r="A60" s="8" t="s">
        <v>73</v>
      </c>
      <c r="B60" s="9" t="s">
        <v>74</v>
      </c>
      <c r="C60" s="10"/>
      <c r="D60" s="32"/>
      <c r="E60" s="32"/>
      <c r="F60" s="33"/>
    </row>
    <row r="61" spans="1:6" x14ac:dyDescent="0.55000000000000004">
      <c r="A61" s="8" t="s">
        <v>75</v>
      </c>
      <c r="B61" s="39" t="s">
        <v>76</v>
      </c>
      <c r="C61" s="14"/>
      <c r="D61" s="14"/>
      <c r="E61" s="14"/>
      <c r="F61" s="34"/>
    </row>
    <row r="62" spans="1:6" ht="24.6" x14ac:dyDescent="0.55000000000000004">
      <c r="A62" s="12" t="s">
        <v>37</v>
      </c>
      <c r="B62" s="35" t="s">
        <v>52</v>
      </c>
      <c r="C62" s="14" t="s">
        <v>23</v>
      </c>
      <c r="D62" s="26">
        <v>5350</v>
      </c>
      <c r="E62" s="36">
        <v>3200</v>
      </c>
      <c r="F62" s="17">
        <f>D62*E62</f>
        <v>17120000</v>
      </c>
    </row>
    <row r="63" spans="1:6" x14ac:dyDescent="0.55000000000000004">
      <c r="A63" s="12" t="s">
        <v>39</v>
      </c>
      <c r="B63" s="37" t="s">
        <v>40</v>
      </c>
      <c r="C63" s="14" t="s">
        <v>23</v>
      </c>
      <c r="D63" s="26">
        <v>1850</v>
      </c>
      <c r="E63" s="36">
        <v>3100</v>
      </c>
      <c r="F63" s="17">
        <f t="shared" ref="F63:F93" si="2">D63*E63</f>
        <v>5735000</v>
      </c>
    </row>
    <row r="64" spans="1:6" x14ac:dyDescent="0.55000000000000004">
      <c r="A64" s="12" t="s">
        <v>77</v>
      </c>
      <c r="B64" s="37" t="s">
        <v>78</v>
      </c>
      <c r="C64" s="14" t="s">
        <v>23</v>
      </c>
      <c r="D64" s="26">
        <v>1350</v>
      </c>
      <c r="E64" s="36">
        <v>10000</v>
      </c>
      <c r="F64" s="17">
        <f t="shared" si="2"/>
        <v>13500000</v>
      </c>
    </row>
    <row r="65" spans="1:6" x14ac:dyDescent="0.55000000000000004">
      <c r="A65" s="8" t="s">
        <v>79</v>
      </c>
      <c r="B65" s="39" t="s">
        <v>80</v>
      </c>
      <c r="C65" s="14"/>
      <c r="D65" s="15"/>
      <c r="E65" s="40"/>
      <c r="F65" s="17">
        <f t="shared" si="2"/>
        <v>0</v>
      </c>
    </row>
    <row r="66" spans="1:6" x14ac:dyDescent="0.55000000000000004">
      <c r="A66" s="12" t="s">
        <v>41</v>
      </c>
      <c r="B66" s="37" t="s">
        <v>58</v>
      </c>
      <c r="C66" s="14" t="s">
        <v>23</v>
      </c>
      <c r="D66" s="15">
        <v>180</v>
      </c>
      <c r="E66" s="36">
        <v>80000</v>
      </c>
      <c r="F66" s="17">
        <f t="shared" si="2"/>
        <v>14400000</v>
      </c>
    </row>
    <row r="67" spans="1:6" x14ac:dyDescent="0.55000000000000004">
      <c r="A67" s="12" t="s">
        <v>43</v>
      </c>
      <c r="B67" s="35" t="s">
        <v>44</v>
      </c>
      <c r="C67" s="14" t="s">
        <v>23</v>
      </c>
      <c r="D67" s="15">
        <v>600</v>
      </c>
      <c r="E67" s="36">
        <v>120000</v>
      </c>
      <c r="F67" s="17">
        <f t="shared" si="2"/>
        <v>72000000</v>
      </c>
    </row>
    <row r="68" spans="1:6" x14ac:dyDescent="0.55000000000000004">
      <c r="A68" s="12" t="s">
        <v>45</v>
      </c>
      <c r="B68" s="37" t="s">
        <v>53</v>
      </c>
      <c r="C68" s="14" t="s">
        <v>20</v>
      </c>
      <c r="D68" s="26">
        <v>1100</v>
      </c>
      <c r="E68" s="36">
        <v>7000</v>
      </c>
      <c r="F68" s="17">
        <f t="shared" si="2"/>
        <v>7700000</v>
      </c>
    </row>
    <row r="69" spans="1:6" x14ac:dyDescent="0.55000000000000004">
      <c r="A69" s="12" t="s">
        <v>81</v>
      </c>
      <c r="B69" s="37" t="s">
        <v>82</v>
      </c>
      <c r="C69" s="14" t="s">
        <v>20</v>
      </c>
      <c r="D69" s="15">
        <v>950</v>
      </c>
      <c r="E69" s="36">
        <v>8000</v>
      </c>
      <c r="F69" s="17">
        <f t="shared" si="2"/>
        <v>7600000</v>
      </c>
    </row>
    <row r="70" spans="1:6" x14ac:dyDescent="0.55000000000000004">
      <c r="A70" s="12" t="s">
        <v>47</v>
      </c>
      <c r="B70" s="37" t="s">
        <v>48</v>
      </c>
      <c r="C70" s="14" t="s">
        <v>49</v>
      </c>
      <c r="D70" s="26">
        <v>54000</v>
      </c>
      <c r="E70" s="40">
        <v>1150</v>
      </c>
      <c r="F70" s="17">
        <f t="shared" si="2"/>
        <v>62100000</v>
      </c>
    </row>
    <row r="71" spans="1:6" x14ac:dyDescent="0.55000000000000004">
      <c r="A71" s="12" t="s">
        <v>83</v>
      </c>
      <c r="B71" s="35" t="s">
        <v>84</v>
      </c>
      <c r="C71" s="14" t="s">
        <v>20</v>
      </c>
      <c r="D71" s="26">
        <v>1250</v>
      </c>
      <c r="E71" s="40">
        <v>800</v>
      </c>
      <c r="F71" s="17">
        <f t="shared" si="2"/>
        <v>1000000</v>
      </c>
    </row>
    <row r="72" spans="1:6" x14ac:dyDescent="0.55000000000000004">
      <c r="A72" s="8" t="s">
        <v>85</v>
      </c>
      <c r="B72" s="39" t="s">
        <v>86</v>
      </c>
      <c r="C72" s="14"/>
      <c r="D72" s="15"/>
      <c r="E72" s="40"/>
      <c r="F72" s="17">
        <f t="shared" si="2"/>
        <v>0</v>
      </c>
    </row>
    <row r="73" spans="1:6" ht="36.9" x14ac:dyDescent="0.55000000000000004">
      <c r="A73" s="12" t="s">
        <v>87</v>
      </c>
      <c r="B73" s="37" t="s">
        <v>88</v>
      </c>
      <c r="C73" s="14" t="s">
        <v>89</v>
      </c>
      <c r="D73" s="15">
        <v>500</v>
      </c>
      <c r="E73" s="41">
        <v>1800</v>
      </c>
      <c r="F73" s="17">
        <f t="shared" si="2"/>
        <v>900000</v>
      </c>
    </row>
    <row r="74" spans="1:6" ht="24.6" x14ac:dyDescent="0.55000000000000004">
      <c r="A74" s="12" t="s">
        <v>90</v>
      </c>
      <c r="B74" s="37" t="s">
        <v>91</v>
      </c>
      <c r="C74" s="14" t="s">
        <v>89</v>
      </c>
      <c r="D74" s="15">
        <v>650</v>
      </c>
      <c r="E74" s="36">
        <v>11000</v>
      </c>
      <c r="F74" s="17">
        <f t="shared" si="2"/>
        <v>7150000</v>
      </c>
    </row>
    <row r="75" spans="1:6" ht="24.6" x14ac:dyDescent="0.55000000000000004">
      <c r="A75" s="12" t="s">
        <v>92</v>
      </c>
      <c r="B75" s="37" t="s">
        <v>93</v>
      </c>
      <c r="C75" s="14" t="s">
        <v>89</v>
      </c>
      <c r="D75" s="15">
        <v>250</v>
      </c>
      <c r="E75" s="36">
        <v>20000</v>
      </c>
      <c r="F75" s="17">
        <f t="shared" si="2"/>
        <v>5000000</v>
      </c>
    </row>
    <row r="76" spans="1:6" ht="24.6" x14ac:dyDescent="0.55000000000000004">
      <c r="A76" s="12" t="s">
        <v>94</v>
      </c>
      <c r="B76" s="37" t="s">
        <v>95</v>
      </c>
      <c r="C76" s="14" t="s">
        <v>89</v>
      </c>
      <c r="D76" s="15">
        <v>500</v>
      </c>
      <c r="E76" s="36">
        <v>17500</v>
      </c>
      <c r="F76" s="17">
        <f t="shared" si="2"/>
        <v>8750000</v>
      </c>
    </row>
    <row r="77" spans="1:6" x14ac:dyDescent="0.55000000000000004">
      <c r="A77" s="12" t="s">
        <v>96</v>
      </c>
      <c r="B77" s="37" t="s">
        <v>97</v>
      </c>
      <c r="C77" s="14" t="s">
        <v>65</v>
      </c>
      <c r="D77" s="15">
        <v>30</v>
      </c>
      <c r="E77" s="36">
        <v>20000</v>
      </c>
      <c r="F77" s="17">
        <f t="shared" si="2"/>
        <v>600000</v>
      </c>
    </row>
    <row r="78" spans="1:6" x14ac:dyDescent="0.55000000000000004">
      <c r="A78" s="12" t="s">
        <v>98</v>
      </c>
      <c r="B78" s="37" t="s">
        <v>99</v>
      </c>
      <c r="C78" s="14" t="s">
        <v>65</v>
      </c>
      <c r="D78" s="15">
        <v>150</v>
      </c>
      <c r="E78" s="36">
        <v>8500</v>
      </c>
      <c r="F78" s="17">
        <f t="shared" si="2"/>
        <v>1275000</v>
      </c>
    </row>
    <row r="79" spans="1:6" ht="24.6" x14ac:dyDescent="0.55000000000000004">
      <c r="A79" s="12" t="s">
        <v>100</v>
      </c>
      <c r="B79" s="37" t="s">
        <v>101</v>
      </c>
      <c r="C79" s="14" t="s">
        <v>65</v>
      </c>
      <c r="D79" s="15">
        <v>150</v>
      </c>
      <c r="E79" s="36">
        <v>35000</v>
      </c>
      <c r="F79" s="17">
        <f t="shared" si="2"/>
        <v>5250000</v>
      </c>
    </row>
    <row r="80" spans="1:6" ht="36.9" x14ac:dyDescent="0.55000000000000004">
      <c r="A80" s="12" t="s">
        <v>102</v>
      </c>
      <c r="B80" s="37" t="s">
        <v>103</v>
      </c>
      <c r="C80" s="14" t="s">
        <v>65</v>
      </c>
      <c r="D80" s="15">
        <v>10</v>
      </c>
      <c r="E80" s="41">
        <v>440000</v>
      </c>
      <c r="F80" s="17">
        <f t="shared" si="2"/>
        <v>4400000</v>
      </c>
    </row>
    <row r="81" spans="1:6" ht="36.9" x14ac:dyDescent="0.55000000000000004">
      <c r="A81" s="12" t="s">
        <v>104</v>
      </c>
      <c r="B81" s="37" t="s">
        <v>105</v>
      </c>
      <c r="C81" s="14" t="s">
        <v>65</v>
      </c>
      <c r="D81" s="15">
        <v>14</v>
      </c>
      <c r="E81" s="41">
        <v>490000</v>
      </c>
      <c r="F81" s="17">
        <f t="shared" si="2"/>
        <v>6860000</v>
      </c>
    </row>
    <row r="82" spans="1:6" ht="36.9" x14ac:dyDescent="0.55000000000000004">
      <c r="A82" s="12" t="s">
        <v>106</v>
      </c>
      <c r="B82" s="37" t="s">
        <v>107</v>
      </c>
      <c r="C82" s="14" t="s">
        <v>65</v>
      </c>
      <c r="D82" s="15">
        <v>4</v>
      </c>
      <c r="E82" s="41">
        <v>1000000</v>
      </c>
      <c r="F82" s="17">
        <f t="shared" si="2"/>
        <v>4000000</v>
      </c>
    </row>
    <row r="83" spans="1:6" ht="36.9" x14ac:dyDescent="0.55000000000000004">
      <c r="A83" s="12" t="s">
        <v>108</v>
      </c>
      <c r="B83" s="37" t="s">
        <v>109</v>
      </c>
      <c r="C83" s="14" t="s">
        <v>65</v>
      </c>
      <c r="D83" s="15">
        <v>1</v>
      </c>
      <c r="E83" s="41">
        <v>1800000</v>
      </c>
      <c r="F83" s="17">
        <f t="shared" si="2"/>
        <v>1800000</v>
      </c>
    </row>
    <row r="84" spans="1:6" x14ac:dyDescent="0.55000000000000004">
      <c r="A84" s="12" t="s">
        <v>110</v>
      </c>
      <c r="B84" s="37" t="s">
        <v>111</v>
      </c>
      <c r="C84" s="14" t="s">
        <v>65</v>
      </c>
      <c r="D84" s="15">
        <v>28</v>
      </c>
      <c r="E84" s="36">
        <v>225000</v>
      </c>
      <c r="F84" s="17">
        <f t="shared" si="2"/>
        <v>6300000</v>
      </c>
    </row>
    <row r="85" spans="1:6" ht="24.6" x14ac:dyDescent="0.55000000000000004">
      <c r="A85" s="12" t="s">
        <v>112</v>
      </c>
      <c r="B85" s="37" t="s">
        <v>113</v>
      </c>
      <c r="C85" s="14" t="s">
        <v>65</v>
      </c>
      <c r="D85" s="15">
        <v>2</v>
      </c>
      <c r="E85" s="36">
        <v>1000000</v>
      </c>
      <c r="F85" s="17">
        <f t="shared" si="2"/>
        <v>2000000</v>
      </c>
    </row>
    <row r="86" spans="1:6" ht="24.6" x14ac:dyDescent="0.55000000000000004">
      <c r="A86" s="12" t="s">
        <v>114</v>
      </c>
      <c r="B86" s="37" t="s">
        <v>115</v>
      </c>
      <c r="C86" s="14" t="s">
        <v>65</v>
      </c>
      <c r="D86" s="15">
        <v>24</v>
      </c>
      <c r="E86" s="41">
        <v>45000</v>
      </c>
      <c r="F86" s="17">
        <f t="shared" si="2"/>
        <v>1080000</v>
      </c>
    </row>
    <row r="87" spans="1:6" x14ac:dyDescent="0.55000000000000004">
      <c r="A87" s="8" t="s">
        <v>116</v>
      </c>
      <c r="B87" s="39" t="s">
        <v>117</v>
      </c>
      <c r="C87" s="14"/>
      <c r="D87" s="15"/>
      <c r="E87" s="40"/>
      <c r="F87" s="17">
        <f t="shared" si="2"/>
        <v>0</v>
      </c>
    </row>
    <row r="88" spans="1:6" x14ac:dyDescent="0.55000000000000004">
      <c r="A88" s="12" t="s">
        <v>118</v>
      </c>
      <c r="B88" s="37" t="s">
        <v>119</v>
      </c>
      <c r="C88" s="14" t="s">
        <v>20</v>
      </c>
      <c r="D88" s="26">
        <v>1680</v>
      </c>
      <c r="E88" s="36">
        <v>12000</v>
      </c>
      <c r="F88" s="17">
        <f t="shared" si="2"/>
        <v>20160000</v>
      </c>
    </row>
    <row r="89" spans="1:6" x14ac:dyDescent="0.55000000000000004">
      <c r="A89" s="12" t="s">
        <v>120</v>
      </c>
      <c r="B89" s="37" t="s">
        <v>121</v>
      </c>
      <c r="C89" s="14" t="s">
        <v>23</v>
      </c>
      <c r="D89" s="15">
        <v>67</v>
      </c>
      <c r="E89" s="36">
        <v>15000</v>
      </c>
      <c r="F89" s="17">
        <f t="shared" si="2"/>
        <v>1005000</v>
      </c>
    </row>
    <row r="90" spans="1:6" x14ac:dyDescent="0.55000000000000004">
      <c r="A90" s="12" t="s">
        <v>122</v>
      </c>
      <c r="B90" s="37" t="s">
        <v>123</v>
      </c>
      <c r="C90" s="14" t="s">
        <v>23</v>
      </c>
      <c r="D90" s="15">
        <v>252</v>
      </c>
      <c r="E90" s="36">
        <v>28000</v>
      </c>
      <c r="F90" s="17">
        <f t="shared" si="2"/>
        <v>7056000</v>
      </c>
    </row>
    <row r="91" spans="1:6" x14ac:dyDescent="0.55000000000000004">
      <c r="A91" s="12" t="s">
        <v>124</v>
      </c>
      <c r="B91" s="37" t="s">
        <v>125</v>
      </c>
      <c r="C91" s="14" t="s">
        <v>23</v>
      </c>
      <c r="D91" s="15">
        <v>756</v>
      </c>
      <c r="E91" s="36">
        <v>30000</v>
      </c>
      <c r="F91" s="17">
        <f t="shared" si="2"/>
        <v>22680000</v>
      </c>
    </row>
    <row r="92" spans="1:6" x14ac:dyDescent="0.55000000000000004">
      <c r="A92" s="8" t="s">
        <v>126</v>
      </c>
      <c r="B92" s="20" t="s">
        <v>127</v>
      </c>
      <c r="C92" s="14"/>
      <c r="D92" s="15"/>
      <c r="E92" s="40"/>
      <c r="F92" s="17">
        <f t="shared" si="2"/>
        <v>0</v>
      </c>
    </row>
    <row r="93" spans="1:6" ht="49.2" x14ac:dyDescent="0.55000000000000004">
      <c r="A93" s="12" t="s">
        <v>128</v>
      </c>
      <c r="B93" s="35" t="s">
        <v>129</v>
      </c>
      <c r="C93" s="14" t="s">
        <v>20</v>
      </c>
      <c r="D93" s="26">
        <v>1680</v>
      </c>
      <c r="E93" s="38">
        <v>25000</v>
      </c>
      <c r="F93" s="17">
        <f t="shared" si="2"/>
        <v>42000000</v>
      </c>
    </row>
    <row r="94" spans="1:6" x14ac:dyDescent="0.55000000000000004">
      <c r="A94" s="170" t="s">
        <v>130</v>
      </c>
      <c r="B94" s="171"/>
      <c r="C94" s="171"/>
      <c r="D94" s="171"/>
      <c r="E94" s="18"/>
      <c r="F94" s="19">
        <f>SUM(F62:F93)</f>
        <v>349421000</v>
      </c>
    </row>
    <row r="95" spans="1:6" x14ac:dyDescent="0.55000000000000004">
      <c r="A95" s="8" t="s">
        <v>131</v>
      </c>
      <c r="B95" s="9" t="s">
        <v>132</v>
      </c>
      <c r="C95" s="10"/>
      <c r="D95" s="32"/>
      <c r="E95" s="32"/>
      <c r="F95" s="33"/>
    </row>
    <row r="96" spans="1:6" x14ac:dyDescent="0.55000000000000004">
      <c r="A96" s="8" t="s">
        <v>133</v>
      </c>
      <c r="B96" s="39" t="s">
        <v>76</v>
      </c>
      <c r="C96" s="14"/>
      <c r="D96" s="14"/>
      <c r="E96" s="14"/>
      <c r="F96" s="34"/>
    </row>
    <row r="97" spans="1:6" ht="24.6" x14ac:dyDescent="0.55000000000000004">
      <c r="A97" s="12" t="s">
        <v>37</v>
      </c>
      <c r="B97" s="35" t="s">
        <v>52</v>
      </c>
      <c r="C97" s="14" t="s">
        <v>23</v>
      </c>
      <c r="D97" s="26">
        <v>5080</v>
      </c>
      <c r="E97" s="16">
        <v>3200</v>
      </c>
      <c r="F97" s="17">
        <f>D97*E97</f>
        <v>16256000</v>
      </c>
    </row>
    <row r="98" spans="1:6" x14ac:dyDescent="0.55000000000000004">
      <c r="A98" s="12" t="s">
        <v>39</v>
      </c>
      <c r="B98" s="37" t="s">
        <v>40</v>
      </c>
      <c r="C98" s="14" t="s">
        <v>23</v>
      </c>
      <c r="D98" s="26">
        <v>2450</v>
      </c>
      <c r="E98" s="16">
        <v>3100</v>
      </c>
      <c r="F98" s="17">
        <f t="shared" ref="F98:F129" si="3">D98*E98</f>
        <v>7595000</v>
      </c>
    </row>
    <row r="99" spans="1:6" x14ac:dyDescent="0.55000000000000004">
      <c r="A99" s="12" t="s">
        <v>77</v>
      </c>
      <c r="B99" s="37" t="s">
        <v>78</v>
      </c>
      <c r="C99" s="14" t="s">
        <v>23</v>
      </c>
      <c r="D99" s="26">
        <v>1500</v>
      </c>
      <c r="E99" s="16">
        <v>10000</v>
      </c>
      <c r="F99" s="17">
        <f t="shared" si="3"/>
        <v>15000000</v>
      </c>
    </row>
    <row r="100" spans="1:6" x14ac:dyDescent="0.55000000000000004">
      <c r="A100" s="8" t="s">
        <v>134</v>
      </c>
      <c r="B100" s="39" t="s">
        <v>135</v>
      </c>
      <c r="C100" s="14"/>
      <c r="D100" s="15"/>
      <c r="E100" s="14"/>
      <c r="F100" s="17">
        <f t="shared" si="3"/>
        <v>0</v>
      </c>
    </row>
    <row r="101" spans="1:6" ht="24.6" x14ac:dyDescent="0.55000000000000004">
      <c r="A101" s="12" t="s">
        <v>136</v>
      </c>
      <c r="B101" s="37" t="s">
        <v>137</v>
      </c>
      <c r="C101" s="14" t="s">
        <v>20</v>
      </c>
      <c r="D101" s="15">
        <v>100</v>
      </c>
      <c r="E101" s="16">
        <v>1000</v>
      </c>
      <c r="F101" s="17">
        <f t="shared" si="3"/>
        <v>100000</v>
      </c>
    </row>
    <row r="102" spans="1:6" x14ac:dyDescent="0.55000000000000004">
      <c r="A102" s="12" t="s">
        <v>41</v>
      </c>
      <c r="B102" s="37" t="s">
        <v>58</v>
      </c>
      <c r="C102" s="14" t="s">
        <v>23</v>
      </c>
      <c r="D102" s="15">
        <v>10</v>
      </c>
      <c r="E102" s="16">
        <v>80000</v>
      </c>
      <c r="F102" s="17">
        <f t="shared" si="3"/>
        <v>800000</v>
      </c>
    </row>
    <row r="103" spans="1:6" x14ac:dyDescent="0.55000000000000004">
      <c r="A103" s="12" t="s">
        <v>138</v>
      </c>
      <c r="B103" s="37" t="s">
        <v>139</v>
      </c>
      <c r="C103" s="14" t="s">
        <v>23</v>
      </c>
      <c r="D103" s="15">
        <v>75</v>
      </c>
      <c r="E103" s="16">
        <v>135000</v>
      </c>
      <c r="F103" s="17">
        <f t="shared" si="3"/>
        <v>10125000</v>
      </c>
    </row>
    <row r="104" spans="1:6" x14ac:dyDescent="0.55000000000000004">
      <c r="A104" s="12" t="s">
        <v>45</v>
      </c>
      <c r="B104" s="37" t="s">
        <v>53</v>
      </c>
      <c r="C104" s="14" t="s">
        <v>20</v>
      </c>
      <c r="D104" s="15">
        <v>235</v>
      </c>
      <c r="E104" s="16">
        <v>7000</v>
      </c>
      <c r="F104" s="17">
        <f t="shared" si="3"/>
        <v>1645000</v>
      </c>
    </row>
    <row r="105" spans="1:6" x14ac:dyDescent="0.55000000000000004">
      <c r="A105" s="12" t="s">
        <v>81</v>
      </c>
      <c r="B105" s="37" t="s">
        <v>82</v>
      </c>
      <c r="C105" s="14" t="s">
        <v>20</v>
      </c>
      <c r="D105" s="15">
        <v>205</v>
      </c>
      <c r="E105" s="36">
        <v>8000</v>
      </c>
      <c r="F105" s="17">
        <f t="shared" si="3"/>
        <v>1640000</v>
      </c>
    </row>
    <row r="106" spans="1:6" x14ac:dyDescent="0.55000000000000004">
      <c r="A106" s="12" t="s">
        <v>47</v>
      </c>
      <c r="B106" s="37" t="s">
        <v>48</v>
      </c>
      <c r="C106" s="14" t="s">
        <v>49</v>
      </c>
      <c r="D106" s="26">
        <v>5250</v>
      </c>
      <c r="E106" s="38">
        <v>1150</v>
      </c>
      <c r="F106" s="17">
        <f t="shared" si="3"/>
        <v>6037500</v>
      </c>
    </row>
    <row r="107" spans="1:6" x14ac:dyDescent="0.55000000000000004">
      <c r="A107" s="12" t="s">
        <v>140</v>
      </c>
      <c r="B107" s="37" t="s">
        <v>141</v>
      </c>
      <c r="C107" s="28" t="s">
        <v>89</v>
      </c>
      <c r="D107" s="15">
        <v>92</v>
      </c>
      <c r="E107" s="38">
        <v>65000</v>
      </c>
      <c r="F107" s="17">
        <f t="shared" si="3"/>
        <v>5980000</v>
      </c>
    </row>
    <row r="108" spans="1:6" x14ac:dyDescent="0.55000000000000004">
      <c r="A108" s="8" t="s">
        <v>142</v>
      </c>
      <c r="B108" s="39" t="s">
        <v>143</v>
      </c>
      <c r="C108" s="14"/>
      <c r="D108" s="15"/>
      <c r="E108" s="14"/>
      <c r="F108" s="17">
        <f t="shared" si="3"/>
        <v>0</v>
      </c>
    </row>
    <row r="109" spans="1:6" ht="24.6" x14ac:dyDescent="0.55000000000000004">
      <c r="A109" s="12" t="s">
        <v>136</v>
      </c>
      <c r="B109" s="37" t="s">
        <v>137</v>
      </c>
      <c r="C109" s="14" t="s">
        <v>20</v>
      </c>
      <c r="D109" s="15">
        <v>575</v>
      </c>
      <c r="E109" s="16">
        <v>1000</v>
      </c>
      <c r="F109" s="17">
        <f t="shared" si="3"/>
        <v>575000</v>
      </c>
    </row>
    <row r="110" spans="1:6" x14ac:dyDescent="0.55000000000000004">
      <c r="A110" s="42" t="s">
        <v>41</v>
      </c>
      <c r="B110" s="43" t="s">
        <v>58</v>
      </c>
      <c r="C110" s="44" t="s">
        <v>144</v>
      </c>
      <c r="D110" s="15">
        <v>65</v>
      </c>
      <c r="E110" s="45">
        <v>80000</v>
      </c>
      <c r="F110" s="17">
        <f t="shared" si="3"/>
        <v>5200000</v>
      </c>
    </row>
    <row r="111" spans="1:6" x14ac:dyDescent="0.55000000000000004">
      <c r="A111" s="12" t="s">
        <v>138</v>
      </c>
      <c r="B111" s="37" t="s">
        <v>139</v>
      </c>
      <c r="C111" s="14" t="s">
        <v>23</v>
      </c>
      <c r="D111" s="15">
        <v>190</v>
      </c>
      <c r="E111" s="16">
        <v>135000</v>
      </c>
      <c r="F111" s="17">
        <f t="shared" si="3"/>
        <v>25650000</v>
      </c>
    </row>
    <row r="112" spans="1:6" x14ac:dyDescent="0.55000000000000004">
      <c r="A112" s="12" t="s">
        <v>45</v>
      </c>
      <c r="B112" s="37" t="s">
        <v>53</v>
      </c>
      <c r="C112" s="14" t="s">
        <v>20</v>
      </c>
      <c r="D112" s="15">
        <v>300</v>
      </c>
      <c r="E112" s="16">
        <v>7000</v>
      </c>
      <c r="F112" s="17">
        <f t="shared" si="3"/>
        <v>2100000</v>
      </c>
    </row>
    <row r="113" spans="1:6" x14ac:dyDescent="0.55000000000000004">
      <c r="A113" s="12" t="s">
        <v>81</v>
      </c>
      <c r="B113" s="37" t="s">
        <v>82</v>
      </c>
      <c r="C113" s="14" t="s">
        <v>20</v>
      </c>
      <c r="D113" s="15">
        <v>250</v>
      </c>
      <c r="E113" s="16">
        <v>8000</v>
      </c>
      <c r="F113" s="17">
        <f t="shared" si="3"/>
        <v>2000000</v>
      </c>
    </row>
    <row r="114" spans="1:6" x14ac:dyDescent="0.55000000000000004">
      <c r="A114" s="12" t="s">
        <v>47</v>
      </c>
      <c r="B114" s="37" t="s">
        <v>48</v>
      </c>
      <c r="C114" s="14" t="s">
        <v>49</v>
      </c>
      <c r="D114" s="26">
        <v>13300</v>
      </c>
      <c r="E114" s="38">
        <v>1150</v>
      </c>
      <c r="F114" s="17">
        <f t="shared" si="3"/>
        <v>15295000</v>
      </c>
    </row>
    <row r="115" spans="1:6" x14ac:dyDescent="0.55000000000000004">
      <c r="A115" s="12" t="s">
        <v>140</v>
      </c>
      <c r="B115" s="37" t="s">
        <v>141</v>
      </c>
      <c r="C115" s="28" t="s">
        <v>89</v>
      </c>
      <c r="D115" s="15">
        <v>170</v>
      </c>
      <c r="E115" s="38">
        <v>65000</v>
      </c>
      <c r="F115" s="17">
        <f t="shared" si="3"/>
        <v>11050000</v>
      </c>
    </row>
    <row r="116" spans="1:6" x14ac:dyDescent="0.55000000000000004">
      <c r="A116" s="8" t="s">
        <v>145</v>
      </c>
      <c r="B116" s="39" t="s">
        <v>146</v>
      </c>
      <c r="C116" s="14"/>
      <c r="D116" s="15"/>
      <c r="E116" s="14"/>
      <c r="F116" s="17">
        <f t="shared" si="3"/>
        <v>0</v>
      </c>
    </row>
    <row r="117" spans="1:6" ht="24.6" x14ac:dyDescent="0.55000000000000004">
      <c r="A117" s="12" t="s">
        <v>136</v>
      </c>
      <c r="B117" s="37" t="s">
        <v>137</v>
      </c>
      <c r="C117" s="14" t="s">
        <v>20</v>
      </c>
      <c r="D117" s="15">
        <v>169</v>
      </c>
      <c r="E117" s="16">
        <v>1000</v>
      </c>
      <c r="F117" s="17">
        <f t="shared" si="3"/>
        <v>169000</v>
      </c>
    </row>
    <row r="118" spans="1:6" x14ac:dyDescent="0.55000000000000004">
      <c r="A118" s="12" t="s">
        <v>41</v>
      </c>
      <c r="B118" s="37" t="s">
        <v>58</v>
      </c>
      <c r="C118" s="14" t="s">
        <v>23</v>
      </c>
      <c r="D118" s="15">
        <v>22</v>
      </c>
      <c r="E118" s="16">
        <v>80000</v>
      </c>
      <c r="F118" s="17">
        <f t="shared" si="3"/>
        <v>1760000</v>
      </c>
    </row>
    <row r="119" spans="1:6" x14ac:dyDescent="0.55000000000000004">
      <c r="A119" s="12" t="s">
        <v>138</v>
      </c>
      <c r="B119" s="37" t="s">
        <v>139</v>
      </c>
      <c r="C119" s="14" t="s">
        <v>23</v>
      </c>
      <c r="D119" s="15">
        <v>85</v>
      </c>
      <c r="E119" s="16">
        <v>135000</v>
      </c>
      <c r="F119" s="17">
        <f t="shared" si="3"/>
        <v>11475000</v>
      </c>
    </row>
    <row r="120" spans="1:6" x14ac:dyDescent="0.55000000000000004">
      <c r="A120" s="12" t="s">
        <v>45</v>
      </c>
      <c r="B120" s="37" t="s">
        <v>53</v>
      </c>
      <c r="C120" s="14" t="s">
        <v>20</v>
      </c>
      <c r="D120" s="15">
        <v>170</v>
      </c>
      <c r="E120" s="16">
        <v>7000</v>
      </c>
      <c r="F120" s="17">
        <f t="shared" si="3"/>
        <v>1190000</v>
      </c>
    </row>
    <row r="121" spans="1:6" x14ac:dyDescent="0.55000000000000004">
      <c r="A121" s="12" t="s">
        <v>81</v>
      </c>
      <c r="B121" s="37" t="s">
        <v>82</v>
      </c>
      <c r="C121" s="14" t="s">
        <v>20</v>
      </c>
      <c r="D121" s="15">
        <v>130</v>
      </c>
      <c r="E121" s="36">
        <v>8000</v>
      </c>
      <c r="F121" s="17">
        <f t="shared" si="3"/>
        <v>1040000</v>
      </c>
    </row>
    <row r="122" spans="1:6" x14ac:dyDescent="0.55000000000000004">
      <c r="A122" s="12" t="s">
        <v>47</v>
      </c>
      <c r="B122" s="37" t="s">
        <v>48</v>
      </c>
      <c r="C122" s="14" t="s">
        <v>49</v>
      </c>
      <c r="D122" s="26">
        <v>5950</v>
      </c>
      <c r="E122" s="38">
        <v>1150</v>
      </c>
      <c r="F122" s="17">
        <f t="shared" si="3"/>
        <v>6842500</v>
      </c>
    </row>
    <row r="123" spans="1:6" x14ac:dyDescent="0.55000000000000004">
      <c r="A123" s="12" t="s">
        <v>140</v>
      </c>
      <c r="B123" s="37" t="s">
        <v>141</v>
      </c>
      <c r="C123" s="28" t="s">
        <v>89</v>
      </c>
      <c r="D123" s="15">
        <v>110</v>
      </c>
      <c r="E123" s="46">
        <v>65000</v>
      </c>
      <c r="F123" s="17">
        <f t="shared" si="3"/>
        <v>7150000</v>
      </c>
    </row>
    <row r="124" spans="1:6" x14ac:dyDescent="0.55000000000000004">
      <c r="A124" s="8" t="s">
        <v>147</v>
      </c>
      <c r="B124" s="39" t="s">
        <v>148</v>
      </c>
      <c r="C124" s="14"/>
      <c r="D124" s="14" t="s">
        <v>149</v>
      </c>
      <c r="E124" s="40"/>
      <c r="F124" s="17"/>
    </row>
    <row r="125" spans="1:6" ht="36.9" x14ac:dyDescent="0.55000000000000004">
      <c r="A125" s="12" t="s">
        <v>87</v>
      </c>
      <c r="B125" s="37" t="s">
        <v>88</v>
      </c>
      <c r="C125" s="14" t="s">
        <v>89</v>
      </c>
      <c r="D125" s="15">
        <v>150</v>
      </c>
      <c r="E125" s="47">
        <v>1800</v>
      </c>
      <c r="F125" s="17">
        <f t="shared" si="3"/>
        <v>270000</v>
      </c>
    </row>
    <row r="126" spans="1:6" ht="24.6" x14ac:dyDescent="0.55000000000000004">
      <c r="A126" s="12" t="s">
        <v>94</v>
      </c>
      <c r="B126" s="37" t="s">
        <v>95</v>
      </c>
      <c r="C126" s="14" t="s">
        <v>89</v>
      </c>
      <c r="D126" s="15">
        <v>150</v>
      </c>
      <c r="E126" s="36">
        <v>17500</v>
      </c>
      <c r="F126" s="17">
        <f t="shared" si="3"/>
        <v>2625000</v>
      </c>
    </row>
    <row r="127" spans="1:6" ht="36.9" x14ac:dyDescent="0.55000000000000004">
      <c r="A127" s="12" t="s">
        <v>104</v>
      </c>
      <c r="B127" s="37" t="s">
        <v>105</v>
      </c>
      <c r="C127" s="14" t="s">
        <v>65</v>
      </c>
      <c r="D127" s="15">
        <v>4</v>
      </c>
      <c r="E127" s="41">
        <v>490000</v>
      </c>
      <c r="F127" s="17">
        <f t="shared" si="3"/>
        <v>1960000</v>
      </c>
    </row>
    <row r="128" spans="1:6" x14ac:dyDescent="0.55000000000000004">
      <c r="A128" s="12" t="s">
        <v>110</v>
      </c>
      <c r="B128" s="37" t="s">
        <v>111</v>
      </c>
      <c r="C128" s="14" t="s">
        <v>65</v>
      </c>
      <c r="D128" s="15">
        <v>4</v>
      </c>
      <c r="E128" s="36">
        <v>225000</v>
      </c>
      <c r="F128" s="17">
        <f t="shared" si="3"/>
        <v>900000</v>
      </c>
    </row>
    <row r="129" spans="1:6" ht="24.6" x14ac:dyDescent="0.55000000000000004">
      <c r="A129" s="12" t="s">
        <v>150</v>
      </c>
      <c r="B129" s="37" t="s">
        <v>151</v>
      </c>
      <c r="C129" s="14" t="s">
        <v>12</v>
      </c>
      <c r="D129" s="15">
        <v>1</v>
      </c>
      <c r="E129" s="36">
        <v>600000</v>
      </c>
      <c r="F129" s="17">
        <f t="shared" si="3"/>
        <v>600000</v>
      </c>
    </row>
    <row r="130" spans="1:6" x14ac:dyDescent="0.55000000000000004">
      <c r="A130" s="170" t="s">
        <v>152</v>
      </c>
      <c r="B130" s="171"/>
      <c r="C130" s="171"/>
      <c r="D130" s="171"/>
      <c r="E130" s="18"/>
      <c r="F130" s="19">
        <f>SUM(F97:F129)</f>
        <v>163030000</v>
      </c>
    </row>
    <row r="131" spans="1:6" x14ac:dyDescent="0.55000000000000004">
      <c r="A131" s="8" t="s">
        <v>153</v>
      </c>
      <c r="B131" s="9" t="s">
        <v>154</v>
      </c>
      <c r="C131" s="10"/>
      <c r="D131" s="32"/>
      <c r="E131" s="32"/>
      <c r="F131" s="33"/>
    </row>
    <row r="132" spans="1:6" x14ac:dyDescent="0.55000000000000004">
      <c r="A132" s="8" t="s">
        <v>155</v>
      </c>
      <c r="B132" s="39" t="s">
        <v>76</v>
      </c>
      <c r="C132" s="14"/>
      <c r="D132" s="14"/>
      <c r="E132" s="40"/>
      <c r="F132" s="34"/>
    </row>
    <row r="133" spans="1:6" ht="24.6" x14ac:dyDescent="0.55000000000000004">
      <c r="A133" s="12" t="s">
        <v>37</v>
      </c>
      <c r="B133" s="35" t="s">
        <v>52</v>
      </c>
      <c r="C133" s="14" t="s">
        <v>23</v>
      </c>
      <c r="D133" s="26">
        <v>2150</v>
      </c>
      <c r="E133" s="36">
        <v>3200</v>
      </c>
      <c r="F133" s="17">
        <f>D133*E133</f>
        <v>6880000</v>
      </c>
    </row>
    <row r="134" spans="1:6" x14ac:dyDescent="0.55000000000000004">
      <c r="A134" s="12" t="s">
        <v>39</v>
      </c>
      <c r="B134" s="37" t="s">
        <v>40</v>
      </c>
      <c r="C134" s="14" t="s">
        <v>23</v>
      </c>
      <c r="D134" s="15">
        <v>850</v>
      </c>
      <c r="E134" s="36">
        <v>3100</v>
      </c>
      <c r="F134" s="17">
        <f t="shared" ref="F134:F142" si="4">D134*E134</f>
        <v>2635000</v>
      </c>
    </row>
    <row r="135" spans="1:6" ht="24.6" x14ac:dyDescent="0.55000000000000004">
      <c r="A135" s="12" t="s">
        <v>136</v>
      </c>
      <c r="B135" s="37" t="s">
        <v>137</v>
      </c>
      <c r="C135" s="14" t="s">
        <v>20</v>
      </c>
      <c r="D135" s="26">
        <v>1200</v>
      </c>
      <c r="E135" s="36">
        <v>1000</v>
      </c>
      <c r="F135" s="17">
        <f t="shared" si="4"/>
        <v>1200000</v>
      </c>
    </row>
    <row r="136" spans="1:6" x14ac:dyDescent="0.55000000000000004">
      <c r="A136" s="8" t="s">
        <v>156</v>
      </c>
      <c r="B136" s="39" t="s">
        <v>157</v>
      </c>
      <c r="C136" s="14"/>
      <c r="D136" s="15"/>
      <c r="E136" s="40"/>
      <c r="F136" s="17">
        <f t="shared" si="4"/>
        <v>0</v>
      </c>
    </row>
    <row r="137" spans="1:6" x14ac:dyDescent="0.55000000000000004">
      <c r="A137" s="12" t="s">
        <v>41</v>
      </c>
      <c r="B137" s="37" t="s">
        <v>58</v>
      </c>
      <c r="C137" s="14" t="s">
        <v>23</v>
      </c>
      <c r="D137" s="15">
        <v>132</v>
      </c>
      <c r="E137" s="36">
        <v>80000</v>
      </c>
      <c r="F137" s="17">
        <f t="shared" si="4"/>
        <v>10560000</v>
      </c>
    </row>
    <row r="138" spans="1:6" x14ac:dyDescent="0.55000000000000004">
      <c r="A138" s="12" t="s">
        <v>43</v>
      </c>
      <c r="B138" s="37" t="s">
        <v>44</v>
      </c>
      <c r="C138" s="14" t="s">
        <v>23</v>
      </c>
      <c r="D138" s="15">
        <v>200</v>
      </c>
      <c r="E138" s="36">
        <v>120000</v>
      </c>
      <c r="F138" s="17">
        <f t="shared" si="4"/>
        <v>24000000</v>
      </c>
    </row>
    <row r="139" spans="1:6" x14ac:dyDescent="0.55000000000000004">
      <c r="A139" s="12" t="s">
        <v>45</v>
      </c>
      <c r="B139" s="37" t="s">
        <v>53</v>
      </c>
      <c r="C139" s="14" t="s">
        <v>20</v>
      </c>
      <c r="D139" s="15">
        <v>50</v>
      </c>
      <c r="E139" s="36">
        <v>7000</v>
      </c>
      <c r="F139" s="17">
        <f t="shared" si="4"/>
        <v>350000</v>
      </c>
    </row>
    <row r="140" spans="1:6" x14ac:dyDescent="0.55000000000000004">
      <c r="A140" s="12" t="s">
        <v>47</v>
      </c>
      <c r="B140" s="37" t="s">
        <v>48</v>
      </c>
      <c r="C140" s="14" t="s">
        <v>49</v>
      </c>
      <c r="D140" s="26">
        <v>12000</v>
      </c>
      <c r="E140" s="38">
        <v>1150</v>
      </c>
      <c r="F140" s="17">
        <f t="shared" si="4"/>
        <v>13800000</v>
      </c>
    </row>
    <row r="141" spans="1:6" x14ac:dyDescent="0.55000000000000004">
      <c r="A141" s="8" t="s">
        <v>126</v>
      </c>
      <c r="B141" s="39" t="s">
        <v>127</v>
      </c>
      <c r="C141" s="14"/>
      <c r="D141" s="15"/>
      <c r="E141" s="40"/>
      <c r="F141" s="17">
        <f t="shared" si="4"/>
        <v>0</v>
      </c>
    </row>
    <row r="142" spans="1:6" ht="49.2" x14ac:dyDescent="0.55000000000000004">
      <c r="A142" s="12" t="s">
        <v>128</v>
      </c>
      <c r="B142" s="35" t="s">
        <v>129</v>
      </c>
      <c r="C142" s="14" t="s">
        <v>20</v>
      </c>
      <c r="D142" s="26">
        <v>1200</v>
      </c>
      <c r="E142" s="36">
        <v>25000</v>
      </c>
      <c r="F142" s="17">
        <f t="shared" si="4"/>
        <v>30000000</v>
      </c>
    </row>
    <row r="143" spans="1:6" x14ac:dyDescent="0.55000000000000004">
      <c r="A143" s="170" t="s">
        <v>158</v>
      </c>
      <c r="B143" s="171"/>
      <c r="C143" s="171"/>
      <c r="D143" s="171"/>
      <c r="E143" s="18"/>
      <c r="F143" s="19">
        <f>SUM(F133:F142)</f>
        <v>89425000</v>
      </c>
    </row>
    <row r="144" spans="1:6" x14ac:dyDescent="0.55000000000000004">
      <c r="A144" s="8" t="s">
        <v>159</v>
      </c>
      <c r="B144" s="9" t="s">
        <v>160</v>
      </c>
      <c r="C144" s="10"/>
      <c r="D144" s="32"/>
      <c r="E144" s="32"/>
      <c r="F144" s="33"/>
    </row>
    <row r="145" spans="1:6" x14ac:dyDescent="0.55000000000000004">
      <c r="A145" s="8" t="s">
        <v>161</v>
      </c>
      <c r="B145" s="39" t="s">
        <v>76</v>
      </c>
      <c r="C145" s="14"/>
      <c r="D145" s="14"/>
      <c r="E145" s="40"/>
      <c r="F145" s="34"/>
    </row>
    <row r="146" spans="1:6" x14ac:dyDescent="0.55000000000000004">
      <c r="A146" s="12" t="s">
        <v>37</v>
      </c>
      <c r="B146" s="37" t="s">
        <v>162</v>
      </c>
      <c r="C146" s="14" t="s">
        <v>23</v>
      </c>
      <c r="D146" s="26">
        <v>2150</v>
      </c>
      <c r="E146" s="36">
        <v>3200</v>
      </c>
      <c r="F146" s="17">
        <f>D146*E146</f>
        <v>6880000</v>
      </c>
    </row>
    <row r="147" spans="1:6" x14ac:dyDescent="0.55000000000000004">
      <c r="A147" s="12" t="s">
        <v>39</v>
      </c>
      <c r="B147" s="37" t="s">
        <v>40</v>
      </c>
      <c r="C147" s="14" t="s">
        <v>23</v>
      </c>
      <c r="D147" s="15">
        <v>645</v>
      </c>
      <c r="E147" s="36">
        <v>3100</v>
      </c>
      <c r="F147" s="17">
        <f t="shared" ref="F147:F160" si="5">D147*E147</f>
        <v>1999500</v>
      </c>
    </row>
    <row r="148" spans="1:6" x14ac:dyDescent="0.55000000000000004">
      <c r="A148" s="12" t="s">
        <v>77</v>
      </c>
      <c r="B148" s="37" t="s">
        <v>78</v>
      </c>
      <c r="C148" s="14" t="s">
        <v>23</v>
      </c>
      <c r="D148" s="15">
        <v>400</v>
      </c>
      <c r="E148" s="38">
        <v>10000</v>
      </c>
      <c r="F148" s="17">
        <f t="shared" si="5"/>
        <v>4000000</v>
      </c>
    </row>
    <row r="149" spans="1:6" ht="24.6" x14ac:dyDescent="0.55000000000000004">
      <c r="A149" s="12" t="s">
        <v>136</v>
      </c>
      <c r="B149" s="37" t="s">
        <v>137</v>
      </c>
      <c r="C149" s="14" t="s">
        <v>20</v>
      </c>
      <c r="D149" s="15">
        <v>200</v>
      </c>
      <c r="E149" s="36">
        <v>1000</v>
      </c>
      <c r="F149" s="17">
        <f t="shared" si="5"/>
        <v>200000</v>
      </c>
    </row>
    <row r="150" spans="1:6" x14ac:dyDescent="0.55000000000000004">
      <c r="A150" s="8" t="s">
        <v>163</v>
      </c>
      <c r="B150" s="39" t="s">
        <v>164</v>
      </c>
      <c r="C150" s="14"/>
      <c r="D150" s="15"/>
      <c r="E150" s="40"/>
      <c r="F150" s="17">
        <f t="shared" si="5"/>
        <v>0</v>
      </c>
    </row>
    <row r="151" spans="1:6" x14ac:dyDescent="0.55000000000000004">
      <c r="A151" s="12" t="s">
        <v>41</v>
      </c>
      <c r="B151" s="37" t="s">
        <v>58</v>
      </c>
      <c r="C151" s="14" t="s">
        <v>23</v>
      </c>
      <c r="D151" s="15">
        <v>25</v>
      </c>
      <c r="E151" s="36">
        <v>80000</v>
      </c>
      <c r="F151" s="17">
        <f t="shared" si="5"/>
        <v>2000000</v>
      </c>
    </row>
    <row r="152" spans="1:6" x14ac:dyDescent="0.55000000000000004">
      <c r="A152" s="12" t="s">
        <v>43</v>
      </c>
      <c r="B152" s="37" t="s">
        <v>44</v>
      </c>
      <c r="C152" s="14" t="s">
        <v>23</v>
      </c>
      <c r="D152" s="15">
        <v>40</v>
      </c>
      <c r="E152" s="36">
        <v>120000</v>
      </c>
      <c r="F152" s="17">
        <f t="shared" si="5"/>
        <v>4800000</v>
      </c>
    </row>
    <row r="153" spans="1:6" x14ac:dyDescent="0.55000000000000004">
      <c r="A153" s="12" t="s">
        <v>45</v>
      </c>
      <c r="B153" s="37" t="s">
        <v>53</v>
      </c>
      <c r="C153" s="14" t="s">
        <v>20</v>
      </c>
      <c r="D153" s="15">
        <v>20</v>
      </c>
      <c r="E153" s="36">
        <v>7000</v>
      </c>
      <c r="F153" s="17">
        <f t="shared" si="5"/>
        <v>140000</v>
      </c>
    </row>
    <row r="154" spans="1:6" x14ac:dyDescent="0.55000000000000004">
      <c r="A154" s="12" t="s">
        <v>47</v>
      </c>
      <c r="B154" s="37" t="s">
        <v>48</v>
      </c>
      <c r="C154" s="14" t="s">
        <v>49</v>
      </c>
      <c r="D154" s="26">
        <v>3200</v>
      </c>
      <c r="E154" s="38">
        <v>1150</v>
      </c>
      <c r="F154" s="17">
        <f t="shared" si="5"/>
        <v>3680000</v>
      </c>
    </row>
    <row r="155" spans="1:6" x14ac:dyDescent="0.55000000000000004">
      <c r="A155" s="8" t="s">
        <v>165</v>
      </c>
      <c r="B155" s="39" t="s">
        <v>166</v>
      </c>
      <c r="C155" s="14"/>
      <c r="D155" s="15"/>
      <c r="E155" s="40"/>
      <c r="F155" s="17">
        <f t="shared" si="5"/>
        <v>0</v>
      </c>
    </row>
    <row r="156" spans="1:6" x14ac:dyDescent="0.55000000000000004">
      <c r="A156" s="12" t="s">
        <v>167</v>
      </c>
      <c r="B156" s="21" t="s">
        <v>168</v>
      </c>
      <c r="C156" s="14" t="s">
        <v>20</v>
      </c>
      <c r="D156" s="15">
        <v>100</v>
      </c>
      <c r="E156" s="40">
        <v>11000</v>
      </c>
      <c r="F156" s="17">
        <f t="shared" si="5"/>
        <v>1100000</v>
      </c>
    </row>
    <row r="157" spans="1:6" x14ac:dyDescent="0.55000000000000004">
      <c r="A157" s="12" t="s">
        <v>169</v>
      </c>
      <c r="B157" s="21" t="s">
        <v>170</v>
      </c>
      <c r="C157" s="14" t="s">
        <v>20</v>
      </c>
      <c r="D157" s="15">
        <v>150</v>
      </c>
      <c r="E157" s="40">
        <v>4500</v>
      </c>
      <c r="F157" s="17">
        <f t="shared" si="5"/>
        <v>675000</v>
      </c>
    </row>
    <row r="158" spans="1:6" x14ac:dyDescent="0.55000000000000004">
      <c r="A158" s="12" t="s">
        <v>171</v>
      </c>
      <c r="B158" s="21" t="s">
        <v>172</v>
      </c>
      <c r="C158" s="14" t="s">
        <v>20</v>
      </c>
      <c r="D158" s="15">
        <v>100</v>
      </c>
      <c r="E158" s="40">
        <v>4000</v>
      </c>
      <c r="F158" s="17">
        <f t="shared" si="5"/>
        <v>400000</v>
      </c>
    </row>
    <row r="159" spans="1:6" x14ac:dyDescent="0.55000000000000004">
      <c r="A159" s="8" t="s">
        <v>173</v>
      </c>
      <c r="B159" s="39" t="s">
        <v>174</v>
      </c>
      <c r="C159" s="14"/>
      <c r="D159" s="15"/>
      <c r="E159" s="40"/>
      <c r="F159" s="17">
        <f t="shared" si="5"/>
        <v>0</v>
      </c>
    </row>
    <row r="160" spans="1:6" ht="61.5" x14ac:dyDescent="0.55000000000000004">
      <c r="A160" s="12" t="s">
        <v>175</v>
      </c>
      <c r="B160" s="37" t="s">
        <v>176</v>
      </c>
      <c r="C160" s="14" t="s">
        <v>20</v>
      </c>
      <c r="D160" s="15">
        <v>200</v>
      </c>
      <c r="E160" s="36">
        <v>115000</v>
      </c>
      <c r="F160" s="17">
        <f t="shared" si="5"/>
        <v>23000000</v>
      </c>
    </row>
    <row r="161" spans="1:6" x14ac:dyDescent="0.55000000000000004">
      <c r="A161" s="170" t="s">
        <v>177</v>
      </c>
      <c r="B161" s="171"/>
      <c r="C161" s="171"/>
      <c r="D161" s="171"/>
      <c r="E161" s="18"/>
      <c r="F161" s="19">
        <f>SUM(F146:F160)</f>
        <v>48874500</v>
      </c>
    </row>
    <row r="162" spans="1:6" x14ac:dyDescent="0.55000000000000004">
      <c r="A162" s="8" t="s">
        <v>178</v>
      </c>
      <c r="B162" s="9" t="s">
        <v>179</v>
      </c>
      <c r="C162" s="10"/>
      <c r="D162" s="32"/>
      <c r="E162" s="32"/>
      <c r="F162" s="33"/>
    </row>
    <row r="163" spans="1:6" x14ac:dyDescent="0.55000000000000004">
      <c r="A163" s="8" t="s">
        <v>180</v>
      </c>
      <c r="B163" s="39" t="s">
        <v>181</v>
      </c>
      <c r="C163" s="14"/>
      <c r="D163" s="14"/>
      <c r="E163" s="40"/>
      <c r="F163" s="34"/>
    </row>
    <row r="164" spans="1:6" ht="49.2" x14ac:dyDescent="0.55000000000000004">
      <c r="A164" s="12" t="s">
        <v>182</v>
      </c>
      <c r="B164" s="35" t="s">
        <v>183</v>
      </c>
      <c r="C164" s="14" t="s">
        <v>12</v>
      </c>
      <c r="D164" s="15">
        <v>1</v>
      </c>
      <c r="E164" s="36">
        <v>4500000</v>
      </c>
      <c r="F164" s="17">
        <f>D164*E164</f>
        <v>4500000</v>
      </c>
    </row>
    <row r="165" spans="1:6" ht="135.30000000000001" x14ac:dyDescent="0.55000000000000004">
      <c r="A165" s="12" t="s">
        <v>184</v>
      </c>
      <c r="B165" s="35" t="s">
        <v>185</v>
      </c>
      <c r="C165" s="14" t="s">
        <v>12</v>
      </c>
      <c r="D165" s="15">
        <v>1</v>
      </c>
      <c r="E165" s="36">
        <v>30000000</v>
      </c>
      <c r="F165" s="17">
        <f>D165*E165</f>
        <v>30000000</v>
      </c>
    </row>
    <row r="166" spans="1:6" ht="36.9" x14ac:dyDescent="0.55000000000000004">
      <c r="A166" s="12" t="s">
        <v>186</v>
      </c>
      <c r="B166" s="37" t="s">
        <v>187</v>
      </c>
      <c r="C166" s="14" t="s">
        <v>12</v>
      </c>
      <c r="D166" s="15">
        <v>1</v>
      </c>
      <c r="E166" s="36">
        <v>2800000</v>
      </c>
      <c r="F166" s="17">
        <f>D166*E166</f>
        <v>2800000</v>
      </c>
    </row>
    <row r="167" spans="1:6" ht="61.5" x14ac:dyDescent="0.55000000000000004">
      <c r="A167" s="12" t="s">
        <v>188</v>
      </c>
      <c r="B167" s="37" t="s">
        <v>189</v>
      </c>
      <c r="C167" s="14" t="s">
        <v>12</v>
      </c>
      <c r="D167" s="15">
        <v>1</v>
      </c>
      <c r="E167" s="36">
        <v>4000000</v>
      </c>
      <c r="F167" s="17">
        <f>D167*E167</f>
        <v>4000000</v>
      </c>
    </row>
    <row r="168" spans="1:6" x14ac:dyDescent="0.55000000000000004">
      <c r="A168" s="8" t="s">
        <v>190</v>
      </c>
      <c r="B168" s="39" t="s">
        <v>191</v>
      </c>
      <c r="C168" s="14"/>
      <c r="D168" s="14"/>
      <c r="E168" s="40"/>
      <c r="F168" s="34"/>
    </row>
    <row r="169" spans="1:6" ht="61.5" x14ac:dyDescent="0.55000000000000004">
      <c r="A169" s="12" t="s">
        <v>192</v>
      </c>
      <c r="B169" s="37" t="s">
        <v>193</v>
      </c>
      <c r="C169" s="14" t="s">
        <v>89</v>
      </c>
      <c r="D169" s="15">
        <v>840</v>
      </c>
      <c r="E169" s="40">
        <v>85000</v>
      </c>
      <c r="F169" s="22">
        <f>D169*E169</f>
        <v>71400000</v>
      </c>
    </row>
    <row r="170" spans="1:6" ht="24.6" x14ac:dyDescent="0.55000000000000004">
      <c r="A170" s="12" t="s">
        <v>194</v>
      </c>
      <c r="B170" s="35" t="s">
        <v>195</v>
      </c>
      <c r="C170" s="14" t="s">
        <v>65</v>
      </c>
      <c r="D170" s="15">
        <v>1</v>
      </c>
      <c r="E170" s="36">
        <v>1750000</v>
      </c>
      <c r="F170" s="17">
        <f>D170*E170</f>
        <v>1750000</v>
      </c>
    </row>
    <row r="171" spans="1:6" ht="24.6" x14ac:dyDescent="0.55000000000000004">
      <c r="A171" s="12" t="s">
        <v>196</v>
      </c>
      <c r="B171" s="35" t="s">
        <v>197</v>
      </c>
      <c r="C171" s="14" t="s">
        <v>65</v>
      </c>
      <c r="D171" s="15">
        <v>1</v>
      </c>
      <c r="E171" s="36">
        <v>300000</v>
      </c>
      <c r="F171" s="17">
        <f>E171*D171</f>
        <v>300000</v>
      </c>
    </row>
    <row r="172" spans="1:6" ht="49.2" x14ac:dyDescent="0.55000000000000004">
      <c r="A172" s="12" t="s">
        <v>198</v>
      </c>
      <c r="B172" s="35" t="s">
        <v>199</v>
      </c>
      <c r="C172" s="14" t="s">
        <v>200</v>
      </c>
      <c r="D172" s="15">
        <v>1</v>
      </c>
      <c r="E172" s="36">
        <v>1400000</v>
      </c>
      <c r="F172" s="17">
        <f>E172*D172</f>
        <v>1400000</v>
      </c>
    </row>
    <row r="173" spans="1:6" ht="110.7" x14ac:dyDescent="0.55000000000000004">
      <c r="A173" s="12" t="s">
        <v>201</v>
      </c>
      <c r="B173" s="13" t="s">
        <v>202</v>
      </c>
      <c r="C173" s="14" t="s">
        <v>200</v>
      </c>
      <c r="D173" s="15">
        <v>1</v>
      </c>
      <c r="E173" s="36">
        <v>3000000</v>
      </c>
      <c r="F173" s="17">
        <f>E173*D173</f>
        <v>3000000</v>
      </c>
    </row>
    <row r="174" spans="1:6" x14ac:dyDescent="0.55000000000000004">
      <c r="A174" s="170" t="s">
        <v>203</v>
      </c>
      <c r="B174" s="171"/>
      <c r="C174" s="171"/>
      <c r="D174" s="171"/>
      <c r="E174" s="18"/>
      <c r="F174" s="19">
        <f>SUM(F164:F173)</f>
        <v>119150000</v>
      </c>
    </row>
    <row r="175" spans="1:6" x14ac:dyDescent="0.55000000000000004">
      <c r="A175" s="8" t="s">
        <v>204</v>
      </c>
      <c r="B175" s="9" t="s">
        <v>205</v>
      </c>
      <c r="C175" s="10"/>
      <c r="D175" s="32"/>
      <c r="E175" s="32"/>
      <c r="F175" s="33"/>
    </row>
    <row r="176" spans="1:6" x14ac:dyDescent="0.55000000000000004">
      <c r="A176" s="8" t="s">
        <v>206</v>
      </c>
      <c r="B176" s="9" t="s">
        <v>76</v>
      </c>
      <c r="C176" s="10"/>
      <c r="D176" s="32"/>
      <c r="E176" s="32"/>
      <c r="F176" s="33"/>
    </row>
    <row r="177" spans="1:6" ht="24.6" x14ac:dyDescent="0.55000000000000004">
      <c r="A177" s="12" t="s">
        <v>37</v>
      </c>
      <c r="B177" s="35" t="s">
        <v>52</v>
      </c>
      <c r="C177" s="48" t="s">
        <v>207</v>
      </c>
      <c r="D177" s="26">
        <v>4500</v>
      </c>
      <c r="E177" s="36">
        <v>3200</v>
      </c>
      <c r="F177" s="17">
        <f>D177*E177</f>
        <v>14400000</v>
      </c>
    </row>
    <row r="178" spans="1:6" x14ac:dyDescent="0.55000000000000004">
      <c r="A178" s="12" t="s">
        <v>39</v>
      </c>
      <c r="B178" s="37" t="s">
        <v>40</v>
      </c>
      <c r="C178" s="48" t="s">
        <v>207</v>
      </c>
      <c r="D178" s="26">
        <v>1350</v>
      </c>
      <c r="E178" s="36">
        <v>3100</v>
      </c>
      <c r="F178" s="17">
        <f t="shared" ref="F178:F205" si="6">D178*E178</f>
        <v>4185000</v>
      </c>
    </row>
    <row r="179" spans="1:6" x14ac:dyDescent="0.55000000000000004">
      <c r="A179" s="12" t="s">
        <v>77</v>
      </c>
      <c r="B179" s="37" t="s">
        <v>78</v>
      </c>
      <c r="C179" s="48" t="s">
        <v>207</v>
      </c>
      <c r="D179" s="26">
        <v>1800</v>
      </c>
      <c r="E179" s="38">
        <v>10000</v>
      </c>
      <c r="F179" s="17">
        <f t="shared" si="6"/>
        <v>18000000</v>
      </c>
    </row>
    <row r="180" spans="1:6" x14ac:dyDescent="0.55000000000000004">
      <c r="A180" s="12" t="s">
        <v>208</v>
      </c>
      <c r="B180" s="25" t="s">
        <v>209</v>
      </c>
      <c r="C180" s="49" t="s">
        <v>210</v>
      </c>
      <c r="D180" s="26">
        <v>2850</v>
      </c>
      <c r="E180" s="38">
        <v>10000</v>
      </c>
      <c r="F180" s="17">
        <f t="shared" si="6"/>
        <v>28500000</v>
      </c>
    </row>
    <row r="181" spans="1:6" ht="24.6" x14ac:dyDescent="0.55000000000000004">
      <c r="A181" s="12" t="s">
        <v>211</v>
      </c>
      <c r="B181" s="25" t="s">
        <v>212</v>
      </c>
      <c r="C181" s="14" t="s">
        <v>20</v>
      </c>
      <c r="D181" s="26">
        <v>4550</v>
      </c>
      <c r="E181" s="40">
        <v>450</v>
      </c>
      <c r="F181" s="17">
        <f t="shared" si="6"/>
        <v>2047500</v>
      </c>
    </row>
    <row r="182" spans="1:6" x14ac:dyDescent="0.55000000000000004">
      <c r="A182" s="12" t="s">
        <v>213</v>
      </c>
      <c r="B182" s="37" t="s">
        <v>214</v>
      </c>
      <c r="C182" s="14" t="s">
        <v>20</v>
      </c>
      <c r="D182" s="26">
        <v>2500</v>
      </c>
      <c r="E182" s="36">
        <v>1800</v>
      </c>
      <c r="F182" s="17">
        <f t="shared" si="6"/>
        <v>4500000</v>
      </c>
    </row>
    <row r="183" spans="1:6" x14ac:dyDescent="0.55000000000000004">
      <c r="A183" s="8" t="s">
        <v>215</v>
      </c>
      <c r="B183" s="39" t="s">
        <v>216</v>
      </c>
      <c r="C183" s="14"/>
      <c r="D183" s="14"/>
      <c r="E183" s="40"/>
      <c r="F183" s="17"/>
    </row>
    <row r="184" spans="1:6" ht="36.9" x14ac:dyDescent="0.55000000000000004">
      <c r="A184" s="12" t="s">
        <v>217</v>
      </c>
      <c r="B184" s="37" t="s">
        <v>218</v>
      </c>
      <c r="C184" s="14" t="s">
        <v>23</v>
      </c>
      <c r="D184" s="15" t="s">
        <v>219</v>
      </c>
      <c r="E184" s="40">
        <v>12000</v>
      </c>
      <c r="F184" s="17"/>
    </row>
    <row r="185" spans="1:6" x14ac:dyDescent="0.55000000000000004">
      <c r="A185" s="12" t="s">
        <v>220</v>
      </c>
      <c r="B185" s="37" t="s">
        <v>221</v>
      </c>
      <c r="C185" s="14" t="s">
        <v>222</v>
      </c>
      <c r="D185" s="15" t="s">
        <v>219</v>
      </c>
      <c r="E185" s="36">
        <v>11500</v>
      </c>
      <c r="F185" s="17"/>
    </row>
    <row r="186" spans="1:6" x14ac:dyDescent="0.55000000000000004">
      <c r="A186" s="12" t="s">
        <v>223</v>
      </c>
      <c r="B186" s="37" t="s">
        <v>224</v>
      </c>
      <c r="C186" s="14" t="s">
        <v>222</v>
      </c>
      <c r="D186" s="15">
        <v>400</v>
      </c>
      <c r="E186" s="38">
        <v>12000</v>
      </c>
      <c r="F186" s="17">
        <f t="shared" si="6"/>
        <v>4800000</v>
      </c>
    </row>
    <row r="187" spans="1:6" x14ac:dyDescent="0.55000000000000004">
      <c r="A187" s="12" t="s">
        <v>225</v>
      </c>
      <c r="B187" s="37" t="s">
        <v>226</v>
      </c>
      <c r="C187" s="14" t="s">
        <v>49</v>
      </c>
      <c r="D187" s="26">
        <v>26400</v>
      </c>
      <c r="E187" s="36">
        <v>225</v>
      </c>
      <c r="F187" s="17">
        <f t="shared" si="6"/>
        <v>5940000</v>
      </c>
    </row>
    <row r="188" spans="1:6" x14ac:dyDescent="0.55000000000000004">
      <c r="A188" s="12" t="s">
        <v>227</v>
      </c>
      <c r="B188" s="37" t="s">
        <v>228</v>
      </c>
      <c r="C188" s="14" t="s">
        <v>222</v>
      </c>
      <c r="D188" s="15">
        <v>210</v>
      </c>
      <c r="E188" s="36">
        <v>35000</v>
      </c>
      <c r="F188" s="17">
        <f t="shared" si="6"/>
        <v>7350000</v>
      </c>
    </row>
    <row r="189" spans="1:6" ht="24.6" x14ac:dyDescent="0.55000000000000004">
      <c r="A189" s="12" t="s">
        <v>229</v>
      </c>
      <c r="B189" s="37" t="s">
        <v>230</v>
      </c>
      <c r="C189" s="14" t="s">
        <v>231</v>
      </c>
      <c r="D189" s="26">
        <v>2000</v>
      </c>
      <c r="E189" s="36">
        <v>1500</v>
      </c>
      <c r="F189" s="17">
        <f t="shared" si="6"/>
        <v>3000000</v>
      </c>
    </row>
    <row r="190" spans="1:6" x14ac:dyDescent="0.55000000000000004">
      <c r="A190" s="12" t="s">
        <v>232</v>
      </c>
      <c r="B190" s="37" t="s">
        <v>233</v>
      </c>
      <c r="C190" s="14" t="s">
        <v>231</v>
      </c>
      <c r="D190" s="26">
        <v>2000</v>
      </c>
      <c r="E190" s="36">
        <v>900</v>
      </c>
      <c r="F190" s="17">
        <f t="shared" si="6"/>
        <v>1800000</v>
      </c>
    </row>
    <row r="191" spans="1:6" x14ac:dyDescent="0.55000000000000004">
      <c r="A191" s="12" t="s">
        <v>234</v>
      </c>
      <c r="B191" s="37" t="s">
        <v>235</v>
      </c>
      <c r="C191" s="14" t="s">
        <v>231</v>
      </c>
      <c r="D191" s="26">
        <v>1400</v>
      </c>
      <c r="E191" s="36">
        <v>18000</v>
      </c>
      <c r="F191" s="17">
        <f t="shared" si="6"/>
        <v>25200000</v>
      </c>
    </row>
    <row r="192" spans="1:6" x14ac:dyDescent="0.55000000000000004">
      <c r="A192" s="8" t="s">
        <v>236</v>
      </c>
      <c r="B192" s="39" t="s">
        <v>237</v>
      </c>
      <c r="C192" s="14"/>
      <c r="D192" s="14"/>
      <c r="E192" s="40"/>
      <c r="F192" s="17">
        <f t="shared" si="6"/>
        <v>0</v>
      </c>
    </row>
    <row r="193" spans="1:6" x14ac:dyDescent="0.55000000000000004">
      <c r="A193" s="12" t="s">
        <v>43</v>
      </c>
      <c r="B193" s="37" t="s">
        <v>238</v>
      </c>
      <c r="C193" s="14" t="s">
        <v>23</v>
      </c>
      <c r="D193" s="15">
        <v>578</v>
      </c>
      <c r="E193" s="36">
        <v>120000</v>
      </c>
      <c r="F193" s="17">
        <f t="shared" si="6"/>
        <v>69360000</v>
      </c>
    </row>
    <row r="194" spans="1:6" x14ac:dyDescent="0.55000000000000004">
      <c r="A194" s="12" t="s">
        <v>45</v>
      </c>
      <c r="B194" s="37" t="s">
        <v>53</v>
      </c>
      <c r="C194" s="14" t="s">
        <v>20</v>
      </c>
      <c r="D194" s="15">
        <v>440</v>
      </c>
      <c r="E194" s="36">
        <v>7000</v>
      </c>
      <c r="F194" s="17">
        <f t="shared" si="6"/>
        <v>3080000</v>
      </c>
    </row>
    <row r="195" spans="1:6" x14ac:dyDescent="0.55000000000000004">
      <c r="A195" s="12" t="s">
        <v>47</v>
      </c>
      <c r="B195" s="37" t="s">
        <v>48</v>
      </c>
      <c r="C195" s="14" t="s">
        <v>49</v>
      </c>
      <c r="D195" s="26">
        <v>40425</v>
      </c>
      <c r="E195" s="38">
        <v>1150</v>
      </c>
      <c r="F195" s="17">
        <f t="shared" si="6"/>
        <v>46488750</v>
      </c>
    </row>
    <row r="196" spans="1:6" ht="36.9" x14ac:dyDescent="0.55000000000000004">
      <c r="A196" s="8" t="s">
        <v>239</v>
      </c>
      <c r="B196" s="20" t="s">
        <v>240</v>
      </c>
      <c r="C196" s="14"/>
      <c r="D196" s="15"/>
      <c r="E196" s="40"/>
      <c r="F196" s="17">
        <f t="shared" si="6"/>
        <v>0</v>
      </c>
    </row>
    <row r="197" spans="1:6" x14ac:dyDescent="0.55000000000000004">
      <c r="A197" s="12" t="s">
        <v>241</v>
      </c>
      <c r="B197" s="13" t="s">
        <v>242</v>
      </c>
      <c r="C197" s="14" t="s">
        <v>89</v>
      </c>
      <c r="D197" s="15">
        <v>300</v>
      </c>
      <c r="E197" s="36">
        <v>60000</v>
      </c>
      <c r="F197" s="17">
        <f t="shared" si="6"/>
        <v>18000000</v>
      </c>
    </row>
    <row r="198" spans="1:6" x14ac:dyDescent="0.55000000000000004">
      <c r="A198" s="12" t="s">
        <v>243</v>
      </c>
      <c r="B198" s="13" t="s">
        <v>244</v>
      </c>
      <c r="C198" s="14" t="s">
        <v>89</v>
      </c>
      <c r="D198" s="15">
        <v>150</v>
      </c>
      <c r="E198" s="36">
        <v>75000</v>
      </c>
      <c r="F198" s="17">
        <f t="shared" si="6"/>
        <v>11250000</v>
      </c>
    </row>
    <row r="199" spans="1:6" x14ac:dyDescent="0.55000000000000004">
      <c r="A199" s="12" t="s">
        <v>245</v>
      </c>
      <c r="B199" s="13" t="s">
        <v>246</v>
      </c>
      <c r="C199" s="14" t="s">
        <v>89</v>
      </c>
      <c r="D199" s="15">
        <v>100</v>
      </c>
      <c r="E199" s="36">
        <v>95000</v>
      </c>
      <c r="F199" s="17">
        <f t="shared" si="6"/>
        <v>9500000</v>
      </c>
    </row>
    <row r="200" spans="1:6" x14ac:dyDescent="0.55000000000000004">
      <c r="A200" s="12" t="s">
        <v>247</v>
      </c>
      <c r="B200" s="13" t="s">
        <v>248</v>
      </c>
      <c r="C200" s="14" t="s">
        <v>89</v>
      </c>
      <c r="D200" s="15">
        <v>50</v>
      </c>
      <c r="E200" s="36">
        <v>135000</v>
      </c>
      <c r="F200" s="17">
        <f t="shared" si="6"/>
        <v>6750000</v>
      </c>
    </row>
    <row r="201" spans="1:6" ht="36.9" x14ac:dyDescent="0.55000000000000004">
      <c r="A201" s="8" t="s">
        <v>249</v>
      </c>
      <c r="B201" s="20" t="s">
        <v>250</v>
      </c>
      <c r="C201" s="14"/>
      <c r="D201" s="15"/>
      <c r="E201" s="40"/>
      <c r="F201" s="17">
        <f t="shared" si="6"/>
        <v>0</v>
      </c>
    </row>
    <row r="202" spans="1:6" x14ac:dyDescent="0.55000000000000004">
      <c r="A202" s="12" t="s">
        <v>251</v>
      </c>
      <c r="B202" s="13" t="s">
        <v>242</v>
      </c>
      <c r="C202" s="14" t="s">
        <v>89</v>
      </c>
      <c r="D202" s="15">
        <v>50</v>
      </c>
      <c r="E202" s="36">
        <v>150000</v>
      </c>
      <c r="F202" s="17">
        <f t="shared" si="6"/>
        <v>7500000</v>
      </c>
    </row>
    <row r="203" spans="1:6" x14ac:dyDescent="0.55000000000000004">
      <c r="A203" s="12" t="s">
        <v>252</v>
      </c>
      <c r="B203" s="13" t="s">
        <v>244</v>
      </c>
      <c r="C203" s="14" t="s">
        <v>89</v>
      </c>
      <c r="D203" s="15">
        <v>40</v>
      </c>
      <c r="E203" s="36">
        <v>175000</v>
      </c>
      <c r="F203" s="17">
        <f t="shared" si="6"/>
        <v>7000000</v>
      </c>
    </row>
    <row r="204" spans="1:6" x14ac:dyDescent="0.55000000000000004">
      <c r="A204" s="12" t="s">
        <v>253</v>
      </c>
      <c r="B204" s="13" t="s">
        <v>246</v>
      </c>
      <c r="C204" s="14" t="s">
        <v>89</v>
      </c>
      <c r="D204" s="15">
        <v>20</v>
      </c>
      <c r="E204" s="36">
        <v>245000</v>
      </c>
      <c r="F204" s="17">
        <f t="shared" si="6"/>
        <v>4900000</v>
      </c>
    </row>
    <row r="205" spans="1:6" x14ac:dyDescent="0.55000000000000004">
      <c r="A205" s="12" t="s">
        <v>254</v>
      </c>
      <c r="B205" s="13" t="s">
        <v>248</v>
      </c>
      <c r="C205" s="14" t="s">
        <v>89</v>
      </c>
      <c r="D205" s="15">
        <v>20</v>
      </c>
      <c r="E205" s="36">
        <v>285000</v>
      </c>
      <c r="F205" s="17">
        <f t="shared" si="6"/>
        <v>5700000</v>
      </c>
    </row>
    <row r="206" spans="1:6" x14ac:dyDescent="0.55000000000000004">
      <c r="A206" s="170" t="s">
        <v>255</v>
      </c>
      <c r="B206" s="171"/>
      <c r="C206" s="171"/>
      <c r="D206" s="171"/>
      <c r="E206" s="18"/>
      <c r="F206" s="19">
        <f>SUM(F176:F205)</f>
        <v>309251250</v>
      </c>
    </row>
    <row r="207" spans="1:6" x14ac:dyDescent="0.55000000000000004">
      <c r="A207" s="8" t="s">
        <v>256</v>
      </c>
      <c r="B207" s="9" t="s">
        <v>257</v>
      </c>
      <c r="C207" s="10"/>
      <c r="D207" s="32"/>
      <c r="E207" s="32"/>
      <c r="F207" s="33"/>
    </row>
    <row r="208" spans="1:6" x14ac:dyDescent="0.55000000000000004">
      <c r="A208" s="50" t="s">
        <v>258</v>
      </c>
      <c r="B208" s="9" t="s">
        <v>259</v>
      </c>
      <c r="C208" s="14"/>
      <c r="D208" s="32"/>
      <c r="E208" s="32"/>
      <c r="F208" s="33"/>
    </row>
    <row r="209" spans="1:6" ht="24.6" x14ac:dyDescent="0.55000000000000004">
      <c r="A209" s="12" t="s">
        <v>260</v>
      </c>
      <c r="B209" s="13" t="s">
        <v>261</v>
      </c>
      <c r="C209" s="14" t="s">
        <v>262</v>
      </c>
      <c r="D209" s="15">
        <v>1</v>
      </c>
      <c r="E209" s="36">
        <v>13000000</v>
      </c>
      <c r="F209" s="17">
        <f t="shared" ref="F209:F225" si="7">D209*E209</f>
        <v>13000000</v>
      </c>
    </row>
    <row r="210" spans="1:6" x14ac:dyDescent="0.55000000000000004">
      <c r="A210" s="12" t="s">
        <v>263</v>
      </c>
      <c r="B210" s="13" t="s">
        <v>264</v>
      </c>
      <c r="C210" s="14" t="s">
        <v>265</v>
      </c>
      <c r="D210" s="15">
        <v>1</v>
      </c>
      <c r="E210" s="36">
        <v>3000000</v>
      </c>
      <c r="F210" s="17">
        <f t="shared" si="7"/>
        <v>3000000</v>
      </c>
    </row>
    <row r="211" spans="1:6" ht="36.9" x14ac:dyDescent="0.55000000000000004">
      <c r="A211" s="12" t="s">
        <v>266</v>
      </c>
      <c r="B211" s="13" t="s">
        <v>267</v>
      </c>
      <c r="C211" s="14" t="s">
        <v>265</v>
      </c>
      <c r="D211" s="15">
        <v>1</v>
      </c>
      <c r="E211" s="36">
        <v>4500000</v>
      </c>
      <c r="F211" s="17">
        <f t="shared" si="7"/>
        <v>4500000</v>
      </c>
    </row>
    <row r="212" spans="1:6" x14ac:dyDescent="0.55000000000000004">
      <c r="A212" s="12" t="s">
        <v>268</v>
      </c>
      <c r="B212" s="13" t="s">
        <v>269</v>
      </c>
      <c r="C212" s="14" t="s">
        <v>265</v>
      </c>
      <c r="D212" s="15">
        <v>1</v>
      </c>
      <c r="E212" s="36">
        <v>2000000</v>
      </c>
      <c r="F212" s="17">
        <f t="shared" si="7"/>
        <v>2000000</v>
      </c>
    </row>
    <row r="213" spans="1:6" x14ac:dyDescent="0.55000000000000004">
      <c r="A213" s="156" t="s">
        <v>270</v>
      </c>
      <c r="B213" s="13" t="s">
        <v>271</v>
      </c>
      <c r="C213" s="158" t="s">
        <v>12</v>
      </c>
      <c r="D213" s="158">
        <v>1</v>
      </c>
      <c r="E213" s="165">
        <v>5000000</v>
      </c>
      <c r="F213" s="167">
        <f>D213*E213</f>
        <v>5000000</v>
      </c>
    </row>
    <row r="214" spans="1:6" ht="21" customHeight="1" x14ac:dyDescent="0.55000000000000004">
      <c r="A214" s="156"/>
      <c r="B214" s="13" t="s">
        <v>272</v>
      </c>
      <c r="C214" s="158"/>
      <c r="D214" s="158"/>
      <c r="E214" s="166"/>
      <c r="F214" s="168"/>
    </row>
    <row r="215" spans="1:6" ht="22.5" customHeight="1" x14ac:dyDescent="0.55000000000000004">
      <c r="A215" s="156"/>
      <c r="B215" s="13" t="s">
        <v>273</v>
      </c>
      <c r="C215" s="158"/>
      <c r="D215" s="158"/>
      <c r="E215" s="166"/>
      <c r="F215" s="168"/>
    </row>
    <row r="216" spans="1:6" ht="26.25" customHeight="1" x14ac:dyDescent="0.55000000000000004">
      <c r="A216" s="156"/>
      <c r="B216" s="13" t="s">
        <v>274</v>
      </c>
      <c r="C216" s="158"/>
      <c r="D216" s="158"/>
      <c r="E216" s="166"/>
      <c r="F216" s="169"/>
    </row>
    <row r="217" spans="1:6" ht="98.4" x14ac:dyDescent="0.55000000000000004">
      <c r="A217" s="12" t="s">
        <v>275</v>
      </c>
      <c r="B217" s="13" t="s">
        <v>276</v>
      </c>
      <c r="C217" s="15" t="s">
        <v>12</v>
      </c>
      <c r="D217" s="15">
        <v>1</v>
      </c>
      <c r="E217" s="36">
        <v>4500000</v>
      </c>
      <c r="F217" s="17">
        <f t="shared" si="7"/>
        <v>4500000</v>
      </c>
    </row>
    <row r="218" spans="1:6" ht="24.6" x14ac:dyDescent="0.55000000000000004">
      <c r="A218" s="12" t="s">
        <v>277</v>
      </c>
      <c r="B218" s="13" t="s">
        <v>278</v>
      </c>
      <c r="C218" s="15" t="s">
        <v>279</v>
      </c>
      <c r="D218" s="15">
        <v>20</v>
      </c>
      <c r="E218" s="36">
        <v>1000000</v>
      </c>
      <c r="F218" s="17">
        <f t="shared" si="7"/>
        <v>20000000</v>
      </c>
    </row>
    <row r="219" spans="1:6" x14ac:dyDescent="0.55000000000000004">
      <c r="A219" s="50" t="s">
        <v>280</v>
      </c>
      <c r="B219" s="9" t="s">
        <v>281</v>
      </c>
      <c r="C219" s="32"/>
      <c r="D219" s="32"/>
      <c r="E219" s="32"/>
      <c r="F219" s="17">
        <f t="shared" si="7"/>
        <v>0</v>
      </c>
    </row>
    <row r="220" spans="1:6" ht="36.9" x14ac:dyDescent="0.55000000000000004">
      <c r="A220" s="12" t="s">
        <v>282</v>
      </c>
      <c r="B220" s="25" t="s">
        <v>283</v>
      </c>
      <c r="C220" s="48" t="s">
        <v>284</v>
      </c>
      <c r="D220" s="15">
        <v>1</v>
      </c>
      <c r="E220" s="16">
        <v>23000000</v>
      </c>
      <c r="F220" s="17">
        <f t="shared" si="7"/>
        <v>23000000</v>
      </c>
    </row>
    <row r="221" spans="1:6" ht="24.6" x14ac:dyDescent="0.55000000000000004">
      <c r="A221" s="12" t="s">
        <v>285</v>
      </c>
      <c r="B221" s="25" t="s">
        <v>286</v>
      </c>
      <c r="C221" s="15" t="s">
        <v>89</v>
      </c>
      <c r="D221" s="15">
        <v>500</v>
      </c>
      <c r="E221" s="51">
        <v>1400</v>
      </c>
      <c r="F221" s="17">
        <f t="shared" si="7"/>
        <v>700000</v>
      </c>
    </row>
    <row r="222" spans="1:6" ht="24.6" x14ac:dyDescent="0.55000000000000004">
      <c r="A222" s="12" t="s">
        <v>287</v>
      </c>
      <c r="B222" s="25" t="s">
        <v>288</v>
      </c>
      <c r="C222" s="15" t="s">
        <v>222</v>
      </c>
      <c r="D222" s="15"/>
      <c r="E222" s="51">
        <v>20000</v>
      </c>
      <c r="F222" s="17">
        <f t="shared" si="7"/>
        <v>0</v>
      </c>
    </row>
    <row r="223" spans="1:6" x14ac:dyDescent="0.55000000000000004">
      <c r="A223" s="12" t="s">
        <v>289</v>
      </c>
      <c r="B223" s="25" t="s">
        <v>290</v>
      </c>
      <c r="C223" s="52" t="s">
        <v>89</v>
      </c>
      <c r="D223" s="52">
        <v>500</v>
      </c>
      <c r="E223" s="51">
        <v>300</v>
      </c>
      <c r="F223" s="17">
        <f t="shared" si="7"/>
        <v>150000</v>
      </c>
    </row>
    <row r="224" spans="1:6" ht="36.9" x14ac:dyDescent="0.55000000000000004">
      <c r="A224" s="12" t="s">
        <v>291</v>
      </c>
      <c r="B224" s="25" t="s">
        <v>292</v>
      </c>
      <c r="C224" s="52" t="s">
        <v>89</v>
      </c>
      <c r="D224" s="52">
        <v>500</v>
      </c>
      <c r="E224" s="51">
        <v>2200</v>
      </c>
      <c r="F224" s="17">
        <f t="shared" si="7"/>
        <v>1100000</v>
      </c>
    </row>
    <row r="225" spans="1:6" ht="24.6" x14ac:dyDescent="0.55000000000000004">
      <c r="A225" s="12" t="s">
        <v>293</v>
      </c>
      <c r="B225" s="25" t="s">
        <v>294</v>
      </c>
      <c r="C225" s="15" t="s">
        <v>295</v>
      </c>
      <c r="D225" s="15">
        <v>8</v>
      </c>
      <c r="E225" s="51">
        <v>40000</v>
      </c>
      <c r="F225" s="17">
        <f t="shared" si="7"/>
        <v>320000</v>
      </c>
    </row>
    <row r="226" spans="1:6" x14ac:dyDescent="0.55000000000000004">
      <c r="A226" s="170" t="s">
        <v>296</v>
      </c>
      <c r="B226" s="171"/>
      <c r="C226" s="171"/>
      <c r="D226" s="171"/>
      <c r="E226" s="18"/>
      <c r="F226" s="19">
        <f>SUM(F209:F225)</f>
        <v>77270000</v>
      </c>
    </row>
    <row r="227" spans="1:6" x14ac:dyDescent="0.55000000000000004">
      <c r="A227" s="8" t="s">
        <v>297</v>
      </c>
      <c r="B227" s="9" t="s">
        <v>298</v>
      </c>
      <c r="C227" s="10"/>
      <c r="D227" s="32"/>
      <c r="E227" s="32"/>
      <c r="F227" s="33"/>
    </row>
    <row r="228" spans="1:6" x14ac:dyDescent="0.55000000000000004">
      <c r="A228" s="156" t="s">
        <v>299</v>
      </c>
      <c r="B228" s="25" t="s">
        <v>300</v>
      </c>
      <c r="C228" s="157" t="s">
        <v>262</v>
      </c>
      <c r="D228" s="158">
        <v>1</v>
      </c>
      <c r="E228" s="159">
        <v>1900000</v>
      </c>
      <c r="F228" s="161">
        <f>D228*E228</f>
        <v>1900000</v>
      </c>
    </row>
    <row r="229" spans="1:6" x14ac:dyDescent="0.55000000000000004">
      <c r="A229" s="156"/>
      <c r="B229" s="25" t="s">
        <v>301</v>
      </c>
      <c r="C229" s="157"/>
      <c r="D229" s="158"/>
      <c r="E229" s="160"/>
      <c r="F229" s="162"/>
    </row>
    <row r="230" spans="1:6" x14ac:dyDescent="0.55000000000000004">
      <c r="A230" s="156"/>
      <c r="B230" s="25" t="s">
        <v>302</v>
      </c>
      <c r="C230" s="157"/>
      <c r="D230" s="158"/>
      <c r="E230" s="160"/>
      <c r="F230" s="162"/>
    </row>
    <row r="231" spans="1:6" x14ac:dyDescent="0.55000000000000004">
      <c r="A231" s="156" t="s">
        <v>303</v>
      </c>
      <c r="B231" s="25" t="s">
        <v>304</v>
      </c>
      <c r="C231" s="157" t="s">
        <v>305</v>
      </c>
      <c r="D231" s="158">
        <v>1</v>
      </c>
      <c r="E231" s="159">
        <v>40000000</v>
      </c>
      <c r="F231" s="161">
        <f>D231*E231</f>
        <v>40000000</v>
      </c>
    </row>
    <row r="232" spans="1:6" x14ac:dyDescent="0.55000000000000004">
      <c r="A232" s="156"/>
      <c r="B232" s="25" t="s">
        <v>306</v>
      </c>
      <c r="C232" s="157"/>
      <c r="D232" s="158"/>
      <c r="E232" s="160"/>
      <c r="F232" s="162"/>
    </row>
    <row r="233" spans="1:6" x14ac:dyDescent="0.55000000000000004">
      <c r="A233" s="156"/>
      <c r="B233" s="25" t="s">
        <v>307</v>
      </c>
      <c r="C233" s="157"/>
      <c r="D233" s="158"/>
      <c r="E233" s="160"/>
      <c r="F233" s="162"/>
    </row>
    <row r="234" spans="1:6" x14ac:dyDescent="0.55000000000000004">
      <c r="A234" s="156"/>
      <c r="B234" s="25" t="s">
        <v>308</v>
      </c>
      <c r="C234" s="157"/>
      <c r="D234" s="158"/>
      <c r="E234" s="160"/>
      <c r="F234" s="162"/>
    </row>
    <row r="235" spans="1:6" x14ac:dyDescent="0.55000000000000004">
      <c r="A235" s="156"/>
      <c r="B235" s="25" t="s">
        <v>309</v>
      </c>
      <c r="C235" s="157"/>
      <c r="D235" s="158"/>
      <c r="E235" s="160"/>
      <c r="F235" s="162"/>
    </row>
    <row r="236" spans="1:6" x14ac:dyDescent="0.55000000000000004">
      <c r="A236" s="156"/>
      <c r="B236" s="25" t="s">
        <v>310</v>
      </c>
      <c r="C236" s="157"/>
      <c r="D236" s="158"/>
      <c r="E236" s="160"/>
      <c r="F236" s="162"/>
    </row>
    <row r="237" spans="1:6" x14ac:dyDescent="0.55000000000000004">
      <c r="A237" s="156"/>
      <c r="B237" s="25" t="s">
        <v>311</v>
      </c>
      <c r="C237" s="157"/>
      <c r="D237" s="158"/>
      <c r="E237" s="160"/>
      <c r="F237" s="162"/>
    </row>
    <row r="238" spans="1:6" x14ac:dyDescent="0.55000000000000004">
      <c r="A238" s="156"/>
      <c r="B238" s="25" t="s">
        <v>312</v>
      </c>
      <c r="C238" s="157"/>
      <c r="D238" s="158"/>
      <c r="E238" s="160"/>
      <c r="F238" s="162"/>
    </row>
    <row r="239" spans="1:6" x14ac:dyDescent="0.55000000000000004">
      <c r="A239" s="156"/>
      <c r="B239" s="25" t="s">
        <v>313</v>
      </c>
      <c r="C239" s="157"/>
      <c r="D239" s="158"/>
      <c r="E239" s="160"/>
      <c r="F239" s="162"/>
    </row>
    <row r="240" spans="1:6" x14ac:dyDescent="0.55000000000000004">
      <c r="A240" s="156"/>
      <c r="B240" s="25" t="s">
        <v>314</v>
      </c>
      <c r="C240" s="157"/>
      <c r="D240" s="158"/>
      <c r="E240" s="160"/>
      <c r="F240" s="162"/>
    </row>
    <row r="241" spans="1:6" x14ac:dyDescent="0.55000000000000004">
      <c r="A241" s="156"/>
      <c r="B241" s="25" t="s">
        <v>315</v>
      </c>
      <c r="C241" s="157"/>
      <c r="D241" s="158"/>
      <c r="E241" s="160"/>
      <c r="F241" s="162"/>
    </row>
    <row r="242" spans="1:6" x14ac:dyDescent="0.55000000000000004">
      <c r="A242" s="163" t="s">
        <v>316</v>
      </c>
      <c r="B242" s="164"/>
      <c r="C242" s="164"/>
      <c r="D242" s="164"/>
      <c r="E242" s="53"/>
      <c r="F242" s="54">
        <f>SUM(F228:F241)</f>
        <v>41900000</v>
      </c>
    </row>
    <row r="243" spans="1:6" s="56" customFormat="1" ht="15.6" x14ac:dyDescent="0.6">
      <c r="A243" s="153" t="s">
        <v>317</v>
      </c>
      <c r="B243" s="154"/>
      <c r="C243" s="154"/>
      <c r="D243" s="154"/>
      <c r="E243" s="155"/>
      <c r="F243" s="55">
        <f>+F242+F226+F206+F161+F143+F130+F94+F59+F17+F8+F174</f>
        <v>1412416250</v>
      </c>
    </row>
    <row r="244" spans="1:6" x14ac:dyDescent="0.55000000000000004">
      <c r="F244" s="57">
        <f>SUM(F6:F242)/2</f>
        <v>1412416250</v>
      </c>
    </row>
  </sheetData>
  <mergeCells count="29">
    <mergeCell ref="A94:D94"/>
    <mergeCell ref="A1:F1"/>
    <mergeCell ref="A3:F3"/>
    <mergeCell ref="A8:D8"/>
    <mergeCell ref="A17:D17"/>
    <mergeCell ref="A59:D59"/>
    <mergeCell ref="A130:D130"/>
    <mergeCell ref="A143:D143"/>
    <mergeCell ref="A161:D161"/>
    <mergeCell ref="A174:D174"/>
    <mergeCell ref="A206:D206"/>
    <mergeCell ref="F231:F241"/>
    <mergeCell ref="A242:D242"/>
    <mergeCell ref="E213:E216"/>
    <mergeCell ref="F213:F216"/>
    <mergeCell ref="A226:D226"/>
    <mergeCell ref="A228:A230"/>
    <mergeCell ref="C228:C230"/>
    <mergeCell ref="D228:D230"/>
    <mergeCell ref="E228:E230"/>
    <mergeCell ref="F228:F230"/>
    <mergeCell ref="A213:A216"/>
    <mergeCell ref="C213:C216"/>
    <mergeCell ref="D213:D216"/>
    <mergeCell ref="A243:E243"/>
    <mergeCell ref="A231:A241"/>
    <mergeCell ref="C231:C241"/>
    <mergeCell ref="D231:D241"/>
    <mergeCell ref="E231:E241"/>
  </mergeCells>
  <pageMargins left="0.70866141732283472" right="0.70866141732283472" top="0.74803149606299213" bottom="0.74803149606299213" header="0.31496062992125984" footer="0.31496062992125984"/>
  <pageSetup paperSize="9" scale="71" fitToHeight="0" orientation="portrait" r:id="rId1"/>
  <headerFooter>
    <oddFooter>&amp;C&amp;P/&amp;N&amp;R&amp;A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8"/>
  <sheetViews>
    <sheetView zoomScaleNormal="100" workbookViewId="0">
      <selection activeCell="C17" sqref="A17:XFD17"/>
    </sheetView>
  </sheetViews>
  <sheetFormatPr baseColWidth="10" defaultColWidth="11.578125" defaultRowHeight="13.8" x14ac:dyDescent="0.45"/>
  <cols>
    <col min="1" max="1" width="11.578125" style="58"/>
    <col min="2" max="2" width="12.68359375" style="58" bestFit="1" customWidth="1"/>
    <col min="3" max="3" width="53.578125" style="58" customWidth="1"/>
    <col min="4" max="4" width="5.578125" style="58" bestFit="1" customWidth="1"/>
    <col min="5" max="5" width="6.578125" style="58" bestFit="1" customWidth="1"/>
    <col min="6" max="6" width="11.68359375" style="58" bestFit="1" customWidth="1"/>
    <col min="7" max="7" width="21.26171875" style="58" bestFit="1" customWidth="1"/>
    <col min="8" max="8" width="20.41796875" style="58" bestFit="1" customWidth="1"/>
    <col min="9" max="9" width="16.68359375" style="58" bestFit="1" customWidth="1"/>
    <col min="10" max="10" width="19.83984375" style="58" bestFit="1" customWidth="1"/>
    <col min="11" max="11" width="14.41796875" style="58" bestFit="1" customWidth="1"/>
    <col min="12" max="16384" width="11.578125" style="58"/>
  </cols>
  <sheetData>
    <row r="1" spans="2:11" ht="14.1" thickBot="1" x14ac:dyDescent="0.5"/>
    <row r="2" spans="2:11" ht="20.399999999999999" thickBot="1" x14ac:dyDescent="0.75">
      <c r="B2" s="179" t="s">
        <v>330</v>
      </c>
      <c r="C2" s="180"/>
      <c r="D2" s="180"/>
      <c r="E2" s="180"/>
      <c r="F2" s="180"/>
      <c r="G2" s="180"/>
      <c r="H2" s="180"/>
      <c r="I2" s="180"/>
      <c r="J2" s="180"/>
      <c r="K2" s="181"/>
    </row>
    <row r="4" spans="2:11" ht="14.1" thickBot="1" x14ac:dyDescent="0.5"/>
    <row r="5" spans="2:11" ht="14.4" thickBot="1" x14ac:dyDescent="0.55000000000000004">
      <c r="D5" s="174" t="s">
        <v>321</v>
      </c>
      <c r="E5" s="175"/>
      <c r="F5" s="175"/>
      <c r="G5" s="176" t="s">
        <v>322</v>
      </c>
      <c r="H5" s="177"/>
      <c r="I5" s="177"/>
      <c r="J5" s="178"/>
      <c r="K5" s="66" t="s">
        <v>326</v>
      </c>
    </row>
    <row r="6" spans="2:11" ht="14.1" x14ac:dyDescent="0.5">
      <c r="B6" s="74" t="s">
        <v>73</v>
      </c>
      <c r="C6" s="75" t="s">
        <v>74</v>
      </c>
      <c r="D6" s="67" t="s">
        <v>318</v>
      </c>
      <c r="E6" s="60" t="s">
        <v>319</v>
      </c>
      <c r="F6" s="60" t="s">
        <v>320</v>
      </c>
      <c r="G6" s="65" t="s">
        <v>323</v>
      </c>
      <c r="H6" s="65" t="s">
        <v>324</v>
      </c>
      <c r="I6" s="65" t="s">
        <v>325</v>
      </c>
      <c r="J6" s="65" t="s">
        <v>327</v>
      </c>
      <c r="K6" s="68" t="s">
        <v>329</v>
      </c>
    </row>
    <row r="7" spans="2:11" s="89" customFormat="1" x14ac:dyDescent="0.45">
      <c r="B7" s="84" t="s">
        <v>75</v>
      </c>
      <c r="C7" s="82" t="s">
        <v>76</v>
      </c>
      <c r="D7" s="85"/>
      <c r="E7" s="86"/>
      <c r="F7" s="86"/>
      <c r="G7" s="87"/>
      <c r="H7" s="87"/>
      <c r="I7" s="87"/>
      <c r="J7" s="87"/>
      <c r="K7" s="88"/>
    </row>
    <row r="8" spans="2:11" s="89" customFormat="1" ht="24.6" x14ac:dyDescent="0.45">
      <c r="B8" s="90" t="s">
        <v>37</v>
      </c>
      <c r="C8" s="83" t="s">
        <v>52</v>
      </c>
      <c r="D8" s="85" t="s">
        <v>331</v>
      </c>
      <c r="E8" s="91">
        <v>5350</v>
      </c>
      <c r="F8" s="92">
        <v>3200</v>
      </c>
      <c r="G8" s="87"/>
      <c r="H8" s="87"/>
      <c r="I8" s="87">
        <f t="shared" ref="I8:I17" si="0">+G8+H8</f>
        <v>0</v>
      </c>
      <c r="J8" s="87">
        <f>+E8-I8</f>
        <v>5350</v>
      </c>
      <c r="K8" s="88">
        <f>+I8*F8</f>
        <v>0</v>
      </c>
    </row>
    <row r="9" spans="2:11" s="89" customFormat="1" x14ac:dyDescent="0.45">
      <c r="B9" s="90" t="s">
        <v>39</v>
      </c>
      <c r="C9" s="83" t="s">
        <v>40</v>
      </c>
      <c r="D9" s="85" t="s">
        <v>331</v>
      </c>
      <c r="E9" s="91">
        <v>1850</v>
      </c>
      <c r="F9" s="92">
        <v>3100</v>
      </c>
      <c r="G9" s="87"/>
      <c r="H9" s="87"/>
      <c r="I9" s="87">
        <f t="shared" si="0"/>
        <v>0</v>
      </c>
      <c r="J9" s="87">
        <f>+E9-I9</f>
        <v>1850</v>
      </c>
      <c r="K9" s="88">
        <f>+I9*F9</f>
        <v>0</v>
      </c>
    </row>
    <row r="10" spans="2:11" s="89" customFormat="1" x14ac:dyDescent="0.45">
      <c r="B10" s="90" t="s">
        <v>77</v>
      </c>
      <c r="C10" s="83" t="s">
        <v>78</v>
      </c>
      <c r="D10" s="85" t="s">
        <v>331</v>
      </c>
      <c r="E10" s="91">
        <v>1350</v>
      </c>
      <c r="F10" s="92">
        <v>10000</v>
      </c>
      <c r="G10" s="87"/>
      <c r="H10" s="87"/>
      <c r="I10" s="87">
        <f t="shared" si="0"/>
        <v>0</v>
      </c>
      <c r="J10" s="87">
        <f>+E10-I10</f>
        <v>1350</v>
      </c>
      <c r="K10" s="88">
        <f>+I10*F10</f>
        <v>0</v>
      </c>
    </row>
    <row r="11" spans="2:11" x14ac:dyDescent="0.45">
      <c r="B11" s="8" t="s">
        <v>79</v>
      </c>
      <c r="C11" s="76" t="s">
        <v>80</v>
      </c>
      <c r="D11" s="69"/>
      <c r="E11" s="63"/>
      <c r="F11" s="64"/>
      <c r="G11" s="59"/>
      <c r="H11" s="59"/>
      <c r="I11" s="59"/>
      <c r="J11" s="59"/>
      <c r="K11" s="70"/>
    </row>
    <row r="12" spans="2:11" x14ac:dyDescent="0.45">
      <c r="B12" s="12" t="s">
        <v>41</v>
      </c>
      <c r="C12" s="78" t="s">
        <v>58</v>
      </c>
      <c r="D12" s="69" t="s">
        <v>23</v>
      </c>
      <c r="E12" s="63">
        <v>180</v>
      </c>
      <c r="F12" s="62">
        <v>80000</v>
      </c>
      <c r="G12" s="59"/>
      <c r="H12" s="59"/>
      <c r="I12" s="59">
        <f t="shared" si="0"/>
        <v>0</v>
      </c>
      <c r="J12" s="59">
        <f>+E12-I12</f>
        <v>180</v>
      </c>
      <c r="K12" s="70">
        <f>+I12*F12</f>
        <v>0</v>
      </c>
    </row>
    <row r="13" spans="2:11" x14ac:dyDescent="0.45">
      <c r="B13" s="12" t="s">
        <v>43</v>
      </c>
      <c r="C13" s="77" t="s">
        <v>44</v>
      </c>
      <c r="D13" s="69" t="s">
        <v>23</v>
      </c>
      <c r="E13" s="63">
        <v>600</v>
      </c>
      <c r="F13" s="62">
        <v>120000</v>
      </c>
      <c r="G13" s="59"/>
      <c r="H13" s="59"/>
      <c r="I13" s="59">
        <f t="shared" si="0"/>
        <v>0</v>
      </c>
      <c r="J13" s="59">
        <f>+E13-I13</f>
        <v>600</v>
      </c>
      <c r="K13" s="70">
        <f>+I13*F13</f>
        <v>0</v>
      </c>
    </row>
    <row r="14" spans="2:11" x14ac:dyDescent="0.45">
      <c r="B14" s="12" t="s">
        <v>45</v>
      </c>
      <c r="C14" s="78" t="s">
        <v>53</v>
      </c>
      <c r="D14" s="69" t="s">
        <v>20</v>
      </c>
      <c r="E14" s="61">
        <v>1100</v>
      </c>
      <c r="F14" s="62">
        <v>7000</v>
      </c>
      <c r="G14" s="59"/>
      <c r="H14" s="59"/>
      <c r="I14" s="59">
        <f t="shared" si="0"/>
        <v>0</v>
      </c>
      <c r="J14" s="59">
        <f>+E14-I14</f>
        <v>1100</v>
      </c>
      <c r="K14" s="70">
        <f>+I14*F14</f>
        <v>0</v>
      </c>
    </row>
    <row r="15" spans="2:11" x14ac:dyDescent="0.45">
      <c r="B15" s="12" t="s">
        <v>81</v>
      </c>
      <c r="C15" s="78" t="s">
        <v>82</v>
      </c>
      <c r="D15" s="69" t="s">
        <v>20</v>
      </c>
      <c r="E15" s="63">
        <v>950</v>
      </c>
      <c r="F15" s="62">
        <v>8000</v>
      </c>
      <c r="G15" s="59"/>
      <c r="H15" s="59"/>
      <c r="I15" s="59">
        <f t="shared" si="0"/>
        <v>0</v>
      </c>
      <c r="J15" s="59">
        <f>+E15-I15</f>
        <v>950</v>
      </c>
      <c r="K15" s="70">
        <f>+I15*F15</f>
        <v>0</v>
      </c>
    </row>
    <row r="16" spans="2:11" x14ac:dyDescent="0.45">
      <c r="B16" s="12" t="s">
        <v>47</v>
      </c>
      <c r="C16" s="78" t="s">
        <v>48</v>
      </c>
      <c r="D16" s="69" t="s">
        <v>49</v>
      </c>
      <c r="E16" s="61">
        <v>54000</v>
      </c>
      <c r="F16" s="64">
        <v>1150</v>
      </c>
      <c r="G16" s="59"/>
      <c r="H16" s="59"/>
      <c r="I16" s="59">
        <f t="shared" si="0"/>
        <v>0</v>
      </c>
      <c r="J16" s="59">
        <f>+E16-I16</f>
        <v>54000</v>
      </c>
      <c r="K16" s="70">
        <f>+I16*F16</f>
        <v>0</v>
      </c>
    </row>
    <row r="17" spans="2:11" x14ac:dyDescent="0.45">
      <c r="B17" s="12" t="s">
        <v>83</v>
      </c>
      <c r="C17" s="77" t="s">
        <v>84</v>
      </c>
      <c r="D17" s="69" t="s">
        <v>20</v>
      </c>
      <c r="E17" s="61">
        <v>1250</v>
      </c>
      <c r="F17" s="64">
        <v>800</v>
      </c>
      <c r="G17" s="59"/>
      <c r="H17" s="59"/>
      <c r="I17" s="59">
        <f t="shared" si="0"/>
        <v>0</v>
      </c>
      <c r="J17" s="59">
        <f t="shared" ref="J17" si="1">+E17-I17</f>
        <v>1250</v>
      </c>
      <c r="K17" s="70">
        <f t="shared" ref="K17" si="2">+I17*F17</f>
        <v>0</v>
      </c>
    </row>
    <row r="18" spans="2:11" ht="14.4" thickBot="1" x14ac:dyDescent="0.55000000000000004">
      <c r="B18" s="79" t="s">
        <v>328</v>
      </c>
      <c r="C18" s="80"/>
      <c r="D18" s="71"/>
      <c r="E18" s="72"/>
      <c r="F18" s="72"/>
      <c r="G18" s="73"/>
      <c r="H18" s="73"/>
      <c r="I18" s="73"/>
      <c r="J18" s="73"/>
      <c r="K18" s="81">
        <f>SUM(K8:K17)</f>
        <v>0</v>
      </c>
    </row>
  </sheetData>
  <mergeCells count="3">
    <mergeCell ref="D5:F5"/>
    <mergeCell ref="G5:J5"/>
    <mergeCell ref="B2:K2"/>
  </mergeCells>
  <pageMargins left="0.7" right="0.7" top="0.75" bottom="0.75" header="0.3" footer="0.3"/>
  <pageSetup paperSize="9" scale="43"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zoomScale="64" zoomScaleNormal="64" workbookViewId="0">
      <selection activeCell="B2" sqref="B2"/>
    </sheetView>
  </sheetViews>
  <sheetFormatPr baseColWidth="10" defaultColWidth="11.578125" defaultRowHeight="24.9" x14ac:dyDescent="0.8"/>
  <cols>
    <col min="1" max="16384" width="11.578125" style="96"/>
  </cols>
  <sheetData>
    <row r="2" spans="2:2" ht="25.2" x14ac:dyDescent="0.85">
      <c r="B2" s="126" t="s">
        <v>362</v>
      </c>
    </row>
    <row r="4" spans="2:2" x14ac:dyDescent="0.8">
      <c r="B4" s="96" t="s">
        <v>363</v>
      </c>
    </row>
    <row r="6" spans="2:2" x14ac:dyDescent="0.8">
      <c r="B6" s="96" t="s">
        <v>364</v>
      </c>
    </row>
    <row r="8" spans="2:2" x14ac:dyDescent="0.8">
      <c r="B8" s="96" t="s">
        <v>365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W28"/>
  <sheetViews>
    <sheetView showGridLines="0" view="pageBreakPreview" topLeftCell="E8" zoomScale="41" zoomScaleNormal="100" zoomScaleSheetLayoutView="41" workbookViewId="0">
      <selection activeCell="R14" sqref="R14"/>
    </sheetView>
  </sheetViews>
  <sheetFormatPr baseColWidth="10" defaultColWidth="11.578125" defaultRowHeight="19.8" x14ac:dyDescent="0.65"/>
  <cols>
    <col min="1" max="1" width="11.578125" style="93"/>
    <col min="2" max="2" width="70.41796875" style="95" customWidth="1"/>
    <col min="3" max="3" width="18.41796875" style="95" customWidth="1"/>
    <col min="4" max="4" width="21.68359375" style="95" customWidth="1"/>
    <col min="5" max="5" width="25.68359375" style="95" customWidth="1"/>
    <col min="6" max="6" width="21.68359375" style="95" customWidth="1"/>
    <col min="7" max="9" width="25.68359375" style="95" customWidth="1"/>
    <col min="10" max="10" width="21.68359375" style="95" customWidth="1"/>
    <col min="11" max="11" width="25.68359375" style="95" customWidth="1"/>
    <col min="12" max="12" width="21.68359375" style="95" customWidth="1"/>
    <col min="13" max="13" width="25.68359375" style="95" customWidth="1"/>
    <col min="14" max="14" width="21.68359375" style="95" customWidth="1"/>
    <col min="15" max="15" width="25.68359375" style="95" customWidth="1"/>
    <col min="16" max="16" width="21.68359375" style="95" customWidth="1"/>
    <col min="17" max="17" width="25.68359375" style="95" customWidth="1"/>
    <col min="18" max="18" width="53.68359375" style="93" bestFit="1" customWidth="1"/>
    <col min="19" max="19" width="23.68359375" style="93" customWidth="1"/>
    <col min="20" max="20" width="32" style="93" bestFit="1" customWidth="1"/>
    <col min="21" max="21" width="19.68359375" style="93" bestFit="1" customWidth="1"/>
    <col min="22" max="22" width="16.26171875" style="93" bestFit="1" customWidth="1"/>
    <col min="23" max="23" width="15.26171875" style="93" bestFit="1" customWidth="1"/>
    <col min="24" max="16384" width="11.578125" style="93"/>
  </cols>
  <sheetData>
    <row r="1" spans="1:23" ht="20.100000000000001" thickBot="1" x14ac:dyDescent="0.7"/>
    <row r="2" spans="1:23" s="94" customFormat="1" ht="60" customHeight="1" thickBot="1" x14ac:dyDescent="0.6">
      <c r="A2" s="192" t="s">
        <v>373</v>
      </c>
      <c r="B2" s="193"/>
      <c r="C2" s="193"/>
      <c r="D2" s="193"/>
      <c r="E2" s="193"/>
      <c r="F2" s="193"/>
      <c r="G2" s="193"/>
      <c r="H2" s="193"/>
      <c r="I2" s="193"/>
      <c r="J2" s="193"/>
      <c r="K2" s="193"/>
      <c r="L2" s="193"/>
      <c r="M2" s="193"/>
      <c r="N2" s="193"/>
      <c r="O2" s="193"/>
      <c r="P2" s="193"/>
      <c r="Q2" s="193"/>
      <c r="R2" s="193"/>
      <c r="S2" s="193"/>
      <c r="T2" s="194"/>
    </row>
    <row r="3" spans="1:23" ht="37.15" customHeight="1" thickBot="1" x14ac:dyDescent="0.7">
      <c r="B3" s="197"/>
      <c r="C3" s="197"/>
      <c r="D3" s="197"/>
      <c r="E3" s="197"/>
      <c r="F3" s="197"/>
      <c r="G3" s="197"/>
      <c r="H3" s="197"/>
      <c r="I3" s="197"/>
      <c r="J3" s="197"/>
      <c r="K3" s="197"/>
      <c r="L3" s="197"/>
      <c r="M3" s="197"/>
      <c r="N3" s="197"/>
      <c r="O3" s="197"/>
      <c r="P3" s="197"/>
      <c r="Q3" s="197"/>
    </row>
    <row r="4" spans="1:23" s="96" customFormat="1" ht="40.15" customHeight="1" x14ac:dyDescent="0.8">
      <c r="A4" s="189" t="s">
        <v>332</v>
      </c>
      <c r="B4" s="185" t="s">
        <v>3</v>
      </c>
      <c r="C4" s="185" t="s">
        <v>340</v>
      </c>
      <c r="D4" s="185" t="s">
        <v>347</v>
      </c>
      <c r="E4" s="185"/>
      <c r="F4" s="185" t="s">
        <v>348</v>
      </c>
      <c r="G4" s="185"/>
      <c r="H4" s="185" t="s">
        <v>357</v>
      </c>
      <c r="I4" s="185"/>
      <c r="J4" s="185" t="s">
        <v>355</v>
      </c>
      <c r="K4" s="185"/>
      <c r="L4" s="185" t="s">
        <v>344</v>
      </c>
      <c r="M4" s="185"/>
      <c r="N4" s="185" t="s">
        <v>345</v>
      </c>
      <c r="O4" s="185"/>
      <c r="P4" s="185" t="s">
        <v>346</v>
      </c>
      <c r="Q4" s="185"/>
      <c r="R4" s="182" t="s">
        <v>368</v>
      </c>
      <c r="S4" s="182" t="s">
        <v>366</v>
      </c>
      <c r="T4" s="182" t="s">
        <v>367</v>
      </c>
    </row>
    <row r="5" spans="1:23" s="96" customFormat="1" ht="48" customHeight="1" thickBot="1" x14ac:dyDescent="0.85">
      <c r="A5" s="190"/>
      <c r="B5" s="191"/>
      <c r="C5" s="191"/>
      <c r="D5" s="97" t="s">
        <v>341</v>
      </c>
      <c r="E5" s="97" t="s">
        <v>342</v>
      </c>
      <c r="F5" s="97" t="s">
        <v>341</v>
      </c>
      <c r="G5" s="97" t="s">
        <v>342</v>
      </c>
      <c r="H5" s="97" t="s">
        <v>341</v>
      </c>
      <c r="I5" s="97" t="s">
        <v>342</v>
      </c>
      <c r="J5" s="97" t="s">
        <v>341</v>
      </c>
      <c r="K5" s="97" t="s">
        <v>342</v>
      </c>
      <c r="L5" s="97" t="s">
        <v>341</v>
      </c>
      <c r="M5" s="97" t="s">
        <v>342</v>
      </c>
      <c r="N5" s="97" t="s">
        <v>341</v>
      </c>
      <c r="O5" s="97" t="s">
        <v>342</v>
      </c>
      <c r="P5" s="97" t="s">
        <v>341</v>
      </c>
      <c r="Q5" s="97" t="s">
        <v>342</v>
      </c>
      <c r="R5" s="183"/>
      <c r="S5" s="183" t="s">
        <v>369</v>
      </c>
      <c r="T5" s="183"/>
    </row>
    <row r="6" spans="1:23" s="96" customFormat="1" ht="48" customHeight="1" x14ac:dyDescent="0.8">
      <c r="A6" s="187" t="s">
        <v>349</v>
      </c>
      <c r="B6" s="188"/>
      <c r="C6" s="188"/>
      <c r="D6" s="188"/>
      <c r="E6" s="188"/>
      <c r="F6" s="188"/>
      <c r="G6" s="188"/>
      <c r="H6" s="188"/>
      <c r="I6" s="188"/>
      <c r="J6" s="188"/>
      <c r="K6" s="188"/>
      <c r="L6" s="188"/>
      <c r="M6" s="188"/>
      <c r="N6" s="188"/>
      <c r="O6" s="188"/>
      <c r="P6" s="188"/>
      <c r="Q6" s="188"/>
      <c r="R6" s="119"/>
      <c r="S6" s="119"/>
      <c r="T6" s="119"/>
    </row>
    <row r="7" spans="1:23" s="96" customFormat="1" ht="60" customHeight="1" x14ac:dyDescent="0.85">
      <c r="A7" s="98">
        <v>1</v>
      </c>
      <c r="B7" s="99" t="s">
        <v>334</v>
      </c>
      <c r="C7" s="116">
        <v>7500</v>
      </c>
      <c r="D7" s="118">
        <f>+MACONS!D31</f>
        <v>4</v>
      </c>
      <c r="E7" s="118">
        <f>+MACONS!E31</f>
        <v>31000</v>
      </c>
      <c r="F7" s="118">
        <f>+MACONS!F31</f>
        <v>4</v>
      </c>
      <c r="G7" s="118">
        <f>+MACONS!G31</f>
        <v>31000</v>
      </c>
      <c r="H7" s="118">
        <f>+MACONS!H31</f>
        <v>0</v>
      </c>
      <c r="I7" s="118">
        <f>+MACONS!I31</f>
        <v>0</v>
      </c>
      <c r="J7" s="118">
        <f>+MACONS!J31</f>
        <v>4</v>
      </c>
      <c r="K7" s="118">
        <f>+MACONS!K31</f>
        <v>32000</v>
      </c>
      <c r="L7" s="118">
        <f>+MACONS!L31</f>
        <v>5</v>
      </c>
      <c r="M7" s="118">
        <f>+MACONS!M31</f>
        <v>39500</v>
      </c>
      <c r="N7" s="118">
        <f>+MACONS!N31</f>
        <v>4</v>
      </c>
      <c r="O7" s="118">
        <f>+MACONS!O31</f>
        <v>32000</v>
      </c>
      <c r="P7" s="118">
        <f>+MACONS!P31</f>
        <v>4</v>
      </c>
      <c r="Q7" s="118">
        <f>+MACONS!Q31</f>
        <v>32000</v>
      </c>
      <c r="R7" s="120">
        <f>+SUM(Q7,O7,M7,K7,G7,E7,I7)</f>
        <v>197500</v>
      </c>
      <c r="S7" s="120">
        <f>+MACONS!T31</f>
        <v>0</v>
      </c>
      <c r="T7" s="120">
        <f>+R7-S7</f>
        <v>197500</v>
      </c>
    </row>
    <row r="8" spans="1:23" s="96" customFormat="1" ht="79.900000000000006" customHeight="1" x14ac:dyDescent="0.85">
      <c r="A8" s="98">
        <v>2</v>
      </c>
      <c r="B8" s="102" t="s">
        <v>335</v>
      </c>
      <c r="C8" s="116">
        <v>7500</v>
      </c>
      <c r="D8" s="118">
        <f>+FERRAILLEURS!D31</f>
        <v>13</v>
      </c>
      <c r="E8" s="118">
        <f>+FERRAILLEURS!E31</f>
        <v>98500</v>
      </c>
      <c r="F8" s="118">
        <f>+FERRAILLEURS!F31</f>
        <v>12</v>
      </c>
      <c r="G8" s="118">
        <f>+FERRAILLEURS!G31</f>
        <v>91000</v>
      </c>
      <c r="H8" s="118">
        <f>+FERRAILLEURS!H31</f>
        <v>4</v>
      </c>
      <c r="I8" s="118">
        <f>+FERRAILLEURS!I31</f>
        <v>31000</v>
      </c>
      <c r="J8" s="118">
        <f>+FERRAILLEURS!J31</f>
        <v>13</v>
      </c>
      <c r="K8" s="118">
        <f>+FERRAILLEURS!K31</f>
        <v>98500</v>
      </c>
      <c r="L8" s="118">
        <f>+FERRAILLEURS!L31</f>
        <v>12</v>
      </c>
      <c r="M8" s="118">
        <f>+FERRAILLEURS!M31</f>
        <v>91000</v>
      </c>
      <c r="N8" s="118">
        <f>+FERRAILLEURS!N31</f>
        <v>11.5</v>
      </c>
      <c r="O8" s="118">
        <f>+FERRAILLEURS!O31</f>
        <v>87250</v>
      </c>
      <c r="P8" s="118">
        <f>+FERRAILLEURS!P31</f>
        <v>10</v>
      </c>
      <c r="Q8" s="118">
        <f>+FERRAILLEURS!Q31</f>
        <v>76000</v>
      </c>
      <c r="R8" s="120">
        <f>+SUM(Q8,O8,M8,K8,G8,E8,I8)</f>
        <v>573250</v>
      </c>
      <c r="S8" s="120">
        <f>+FERRAILLEURS!T31</f>
        <v>0</v>
      </c>
      <c r="T8" s="120">
        <f t="shared" ref="T8:T14" si="0">+R8-S8</f>
        <v>573250</v>
      </c>
    </row>
    <row r="9" spans="1:23" s="96" customFormat="1" ht="79.900000000000006" customHeight="1" x14ac:dyDescent="0.85">
      <c r="A9" s="98">
        <v>3</v>
      </c>
      <c r="B9" s="103" t="s">
        <v>336</v>
      </c>
      <c r="C9" s="116">
        <v>7500</v>
      </c>
      <c r="D9" s="118">
        <f>+COFFREURS!D30</f>
        <v>7</v>
      </c>
      <c r="E9" s="118">
        <f>+COFFREURS!E30</f>
        <v>55500</v>
      </c>
      <c r="F9" s="118">
        <f>+COFFREURS!F30</f>
        <v>8</v>
      </c>
      <c r="G9" s="118">
        <f>+COFFREURS!G30</f>
        <v>62000</v>
      </c>
      <c r="H9" s="118">
        <f>+COFFREURS!H30</f>
        <v>3</v>
      </c>
      <c r="I9" s="118">
        <f>+COFFREURS!I30</f>
        <v>24500</v>
      </c>
      <c r="J9" s="118">
        <f>+COFFREURS!J30</f>
        <v>8</v>
      </c>
      <c r="K9" s="118">
        <f>+COFFREURS!K30</f>
        <v>63000</v>
      </c>
      <c r="L9" s="118">
        <f>+COFFREURS!L30</f>
        <v>7</v>
      </c>
      <c r="M9" s="118">
        <f>+COFFREURS!M30</f>
        <v>55500</v>
      </c>
      <c r="N9" s="118">
        <f>+COFFREURS!N30</f>
        <v>7</v>
      </c>
      <c r="O9" s="118">
        <f>+COFFREURS!O30</f>
        <v>55500</v>
      </c>
      <c r="P9" s="118">
        <f>+COFFREURS!P30</f>
        <v>7</v>
      </c>
      <c r="Q9" s="118">
        <f>+COFFREURS!Q30</f>
        <v>55500</v>
      </c>
      <c r="R9" s="120">
        <f>+SUM(Q9,O9,M9,K9,G9,E9,I9)</f>
        <v>371500</v>
      </c>
      <c r="S9" s="120">
        <f>+COFFREURS!T30</f>
        <v>0</v>
      </c>
      <c r="T9" s="120">
        <f t="shared" si="0"/>
        <v>371500</v>
      </c>
    </row>
    <row r="10" spans="1:23" s="96" customFormat="1" ht="79.900000000000006" customHeight="1" x14ac:dyDescent="0.85">
      <c r="A10" s="98">
        <v>4</v>
      </c>
      <c r="B10" s="103" t="s">
        <v>338</v>
      </c>
      <c r="C10" s="116">
        <v>7500</v>
      </c>
      <c r="D10" s="116">
        <f>+PLOMBIERS!D31</f>
        <v>4</v>
      </c>
      <c r="E10" s="116">
        <f>+PLOMBIERS!E31</f>
        <v>31000</v>
      </c>
      <c r="F10" s="116">
        <f>+PLOMBIERS!F31</f>
        <v>3</v>
      </c>
      <c r="G10" s="116">
        <f>+PLOMBIERS!G31</f>
        <v>22500</v>
      </c>
      <c r="H10" s="116">
        <f>+PLOMBIERS!H31</f>
        <v>0</v>
      </c>
      <c r="I10" s="116">
        <f>+PLOMBIERS!I31</f>
        <v>0</v>
      </c>
      <c r="J10" s="116">
        <f>+PLOMBIERS!J31</f>
        <v>0</v>
      </c>
      <c r="K10" s="116">
        <f>+PLOMBIERS!K31</f>
        <v>0</v>
      </c>
      <c r="L10" s="116">
        <f>+PLOMBIERS!L31</f>
        <v>0</v>
      </c>
      <c r="M10" s="116">
        <f>+PLOMBIERS!M31</f>
        <v>0</v>
      </c>
      <c r="N10" s="116">
        <f>+PLOMBIERS!N31</f>
        <v>0</v>
      </c>
      <c r="O10" s="116">
        <f>+PLOMBIERS!O31</f>
        <v>0</v>
      </c>
      <c r="P10" s="116">
        <f>+PLOMBIERS!P31</f>
        <v>0</v>
      </c>
      <c r="Q10" s="116">
        <f>+PLOMBIERS!Q31</f>
        <v>0</v>
      </c>
      <c r="R10" s="120">
        <f t="shared" ref="R10:R14" si="1">+SUM(Q10,O10,M10,K10,G10,E10,I10)</f>
        <v>53500</v>
      </c>
      <c r="S10" s="120">
        <f>+PLOMBIERS!T31</f>
        <v>0</v>
      </c>
      <c r="T10" s="120">
        <f t="shared" si="0"/>
        <v>53500</v>
      </c>
    </row>
    <row r="11" spans="1:23" s="96" customFormat="1" ht="79.900000000000006" customHeight="1" x14ac:dyDescent="0.85">
      <c r="A11" s="98">
        <v>5</v>
      </c>
      <c r="B11" s="102" t="s">
        <v>337</v>
      </c>
      <c r="C11" s="116">
        <v>10000</v>
      </c>
      <c r="D11" s="118">
        <f>+'CONDUCTEUR D''ENGINS'!D31</f>
        <v>0</v>
      </c>
      <c r="E11" s="118">
        <f>+'CONDUCTEUR D''ENGINS'!E31</f>
        <v>0</v>
      </c>
      <c r="F11" s="118">
        <f>+'CONDUCTEUR D''ENGINS'!F31</f>
        <v>0</v>
      </c>
      <c r="G11" s="118">
        <f>+'CONDUCTEUR D''ENGINS'!G31</f>
        <v>0</v>
      </c>
      <c r="H11" s="118">
        <f>+'CONDUCTEUR D''ENGINS'!H31</f>
        <v>0</v>
      </c>
      <c r="I11" s="118">
        <f>+'CONDUCTEUR D''ENGINS'!I31</f>
        <v>0</v>
      </c>
      <c r="J11" s="118">
        <f>+'CONDUCTEUR D''ENGINS'!J31</f>
        <v>0</v>
      </c>
      <c r="K11" s="118">
        <f>+'CONDUCTEUR D''ENGINS'!K31</f>
        <v>0</v>
      </c>
      <c r="L11" s="118">
        <f>+'CONDUCTEUR D''ENGINS'!L31</f>
        <v>0</v>
      </c>
      <c r="M11" s="118">
        <f>+'CONDUCTEUR D''ENGINS'!M31</f>
        <v>0</v>
      </c>
      <c r="N11" s="118">
        <f>+'CONDUCTEUR D''ENGINS'!N31</f>
        <v>0</v>
      </c>
      <c r="O11" s="118">
        <f>+'CONDUCTEUR D''ENGINS'!O31</f>
        <v>0</v>
      </c>
      <c r="P11" s="118">
        <f>+'CONDUCTEUR D''ENGINS'!P31</f>
        <v>0</v>
      </c>
      <c r="Q11" s="118">
        <f>+'CONDUCTEUR D''ENGINS'!Q31</f>
        <v>0</v>
      </c>
      <c r="R11" s="120">
        <f t="shared" si="1"/>
        <v>0</v>
      </c>
      <c r="S11" s="120">
        <f>+'CONDUCTEUR D''ENGINS'!T31</f>
        <v>0</v>
      </c>
      <c r="T11" s="120">
        <f t="shared" si="0"/>
        <v>0</v>
      </c>
    </row>
    <row r="12" spans="1:23" s="96" customFormat="1" ht="79.900000000000006" customHeight="1" x14ac:dyDescent="0.85">
      <c r="A12" s="98">
        <v>6</v>
      </c>
      <c r="B12" s="102" t="s">
        <v>339</v>
      </c>
      <c r="C12" s="116">
        <v>7500</v>
      </c>
      <c r="D12" s="118">
        <f>+'OPERATEUR BETONNIERE'!D31</f>
        <v>2</v>
      </c>
      <c r="E12" s="118">
        <f>+'OPERATEUR BETONNIERE'!E31</f>
        <v>15000</v>
      </c>
      <c r="F12" s="118">
        <f>+'OPERATEUR BETONNIERE'!F31</f>
        <v>2</v>
      </c>
      <c r="G12" s="118">
        <f>+'OPERATEUR BETONNIERE'!G31</f>
        <v>15000</v>
      </c>
      <c r="H12" s="118">
        <f>+'OPERATEUR BETONNIERE'!H31</f>
        <v>0</v>
      </c>
      <c r="I12" s="118">
        <f>+'OPERATEUR BETONNIERE'!I31</f>
        <v>0</v>
      </c>
      <c r="J12" s="118">
        <f>+'OPERATEUR BETONNIERE'!J31</f>
        <v>1</v>
      </c>
      <c r="K12" s="118">
        <f>+'OPERATEUR BETONNIERE'!K31</f>
        <v>7500</v>
      </c>
      <c r="L12" s="118">
        <f>+'OPERATEUR BETONNIERE'!L31</f>
        <v>1</v>
      </c>
      <c r="M12" s="118">
        <f>+'OPERATEUR BETONNIERE'!M31</f>
        <v>7500</v>
      </c>
      <c r="N12" s="118">
        <f>+'OPERATEUR BETONNIERE'!N31</f>
        <v>1</v>
      </c>
      <c r="O12" s="118">
        <f>+'OPERATEUR BETONNIERE'!O31</f>
        <v>7500</v>
      </c>
      <c r="P12" s="118">
        <f>+'OPERATEUR BETONNIERE'!P31</f>
        <v>1</v>
      </c>
      <c r="Q12" s="118">
        <f>+'OPERATEUR BETONNIERE'!Q31</f>
        <v>7500</v>
      </c>
      <c r="R12" s="120">
        <f t="shared" si="1"/>
        <v>60000</v>
      </c>
      <c r="S12" s="120">
        <f>+'OPERATEUR BETONNIERE'!T31</f>
        <v>0</v>
      </c>
      <c r="T12" s="120">
        <f t="shared" si="0"/>
        <v>60000</v>
      </c>
    </row>
    <row r="13" spans="1:23" s="96" customFormat="1" ht="79.900000000000006" customHeight="1" x14ac:dyDescent="0.85">
      <c r="A13" s="98">
        <v>7</v>
      </c>
      <c r="B13" s="102" t="s">
        <v>350</v>
      </c>
      <c r="C13" s="116">
        <v>4500</v>
      </c>
      <c r="D13" s="118">
        <f>+'AIDE CHANTIER'!D58</f>
        <v>23</v>
      </c>
      <c r="E13" s="118">
        <f>+'AIDE CHANTIER'!E58</f>
        <v>103500</v>
      </c>
      <c r="F13" s="118">
        <f>+'AIDE CHANTIER'!F58</f>
        <v>20</v>
      </c>
      <c r="G13" s="118">
        <f>+'AIDE CHANTIER'!G58</f>
        <v>90000</v>
      </c>
      <c r="H13" s="118">
        <f>+'AIDE CHANTIER'!H58</f>
        <v>0</v>
      </c>
      <c r="I13" s="118">
        <f>+'AIDE CHANTIER'!I58</f>
        <v>0</v>
      </c>
      <c r="J13" s="118">
        <f>+'AIDE CHANTIER'!J58</f>
        <v>22</v>
      </c>
      <c r="K13" s="118">
        <f>+'AIDE CHANTIER'!K58</f>
        <v>99000</v>
      </c>
      <c r="L13" s="118">
        <f>+'AIDE CHANTIER'!L58</f>
        <v>22</v>
      </c>
      <c r="M13" s="118">
        <f>+'AIDE CHANTIER'!M58</f>
        <v>99000</v>
      </c>
      <c r="N13" s="118">
        <f>+'AIDE CHANTIER'!N58</f>
        <v>22.5</v>
      </c>
      <c r="O13" s="118">
        <f>+'AIDE CHANTIER'!O58</f>
        <v>101250</v>
      </c>
      <c r="P13" s="118">
        <f>+'AIDE CHANTIER'!P58</f>
        <v>20</v>
      </c>
      <c r="Q13" s="118">
        <f>+'AIDE CHANTIER'!Q58</f>
        <v>90000</v>
      </c>
      <c r="R13" s="120">
        <f t="shared" si="1"/>
        <v>582750</v>
      </c>
      <c r="S13" s="120">
        <f>+'AIDE CHANTIER'!T58</f>
        <v>0</v>
      </c>
      <c r="T13" s="120">
        <f t="shared" si="0"/>
        <v>582750</v>
      </c>
    </row>
    <row r="14" spans="1:23" s="96" customFormat="1" ht="79.900000000000006" customHeight="1" x14ac:dyDescent="0.85">
      <c r="A14" s="98">
        <v>8</v>
      </c>
      <c r="B14" s="102" t="s">
        <v>372</v>
      </c>
      <c r="C14" s="100">
        <v>2500</v>
      </c>
      <c r="D14" s="118">
        <f>+'HEURES SUP'!D58</f>
        <v>0</v>
      </c>
      <c r="E14" s="118">
        <f>+'HEURES SUP'!E58</f>
        <v>0</v>
      </c>
      <c r="F14" s="118">
        <f>+'HEURES SUP'!F58</f>
        <v>0</v>
      </c>
      <c r="G14" s="118">
        <f>+'HEURES SUP'!G58</f>
        <v>9631.25</v>
      </c>
      <c r="H14" s="118">
        <f>+'HEURES SUP'!H58</f>
        <v>0</v>
      </c>
      <c r="I14" s="118">
        <f>+'HEURES SUP'!I58</f>
        <v>0</v>
      </c>
      <c r="J14" s="118">
        <f>+'HEURES SUP'!J58</f>
        <v>0</v>
      </c>
      <c r="K14" s="118">
        <f>+'HEURES SUP'!K58</f>
        <v>0</v>
      </c>
      <c r="L14" s="118">
        <f>+'HEURES SUP'!L58</f>
        <v>0</v>
      </c>
      <c r="M14" s="118">
        <f>+'HEURES SUP'!M58</f>
        <v>0</v>
      </c>
      <c r="N14" s="118">
        <f>+'HEURES SUP'!N58</f>
        <v>0</v>
      </c>
      <c r="O14" s="118">
        <f>+'HEURES SUP'!O58</f>
        <v>0</v>
      </c>
      <c r="P14" s="118">
        <f>+'HEURES SUP'!P58</f>
        <v>0</v>
      </c>
      <c r="Q14" s="118">
        <f>+'HEURES SUP'!Q58</f>
        <v>0</v>
      </c>
      <c r="R14" s="120">
        <f t="shared" si="1"/>
        <v>9631.25</v>
      </c>
      <c r="S14" s="120">
        <f>+'HEURES SUP'!T58</f>
        <v>0</v>
      </c>
      <c r="T14" s="120">
        <f t="shared" si="0"/>
        <v>9631.25</v>
      </c>
    </row>
    <row r="15" spans="1:23" s="96" customFormat="1" ht="79.900000000000006" customHeight="1" x14ac:dyDescent="0.85">
      <c r="A15" s="105"/>
      <c r="B15" s="102"/>
      <c r="C15" s="100"/>
      <c r="D15" s="118"/>
      <c r="E15" s="118"/>
      <c r="F15" s="118"/>
      <c r="G15" s="118"/>
      <c r="H15" s="118"/>
      <c r="I15" s="118"/>
      <c r="J15" s="118"/>
      <c r="K15" s="118"/>
      <c r="L15" s="118"/>
      <c r="M15" s="118"/>
      <c r="N15" s="118"/>
      <c r="O15" s="118"/>
      <c r="P15" s="118"/>
      <c r="Q15" s="118"/>
      <c r="R15" s="121"/>
      <c r="S15" s="121"/>
      <c r="T15" s="121"/>
    </row>
    <row r="16" spans="1:23" s="108" customFormat="1" ht="60" customHeight="1" thickBot="1" x14ac:dyDescent="0.6">
      <c r="A16" s="106"/>
      <c r="B16" s="152" t="s">
        <v>343</v>
      </c>
      <c r="C16" s="152"/>
      <c r="D16" s="107"/>
      <c r="E16" s="117">
        <f>SUM(E7:E15)</f>
        <v>334500</v>
      </c>
      <c r="F16" s="107"/>
      <c r="G16" s="117">
        <f>SUM(G7:G15)</f>
        <v>321131.25</v>
      </c>
      <c r="H16" s="107"/>
      <c r="I16" s="117">
        <f>SUM(I7:I15)</f>
        <v>55500</v>
      </c>
      <c r="J16" s="107"/>
      <c r="K16" s="117">
        <f>SUM(K7:K15)</f>
        <v>300000</v>
      </c>
      <c r="L16" s="107"/>
      <c r="M16" s="117">
        <f>SUM(M7:M15)</f>
        <v>292500</v>
      </c>
      <c r="N16" s="107"/>
      <c r="O16" s="117">
        <f>SUM(O7:O15)</f>
        <v>283500</v>
      </c>
      <c r="P16" s="107"/>
      <c r="Q16" s="117">
        <f>SUM(Q7:Q15)</f>
        <v>261000</v>
      </c>
      <c r="R16" s="122">
        <f>SUM(R7:R15)</f>
        <v>1848131.25</v>
      </c>
      <c r="S16" s="122">
        <f>SUM(S7:S15)</f>
        <v>0</v>
      </c>
      <c r="T16" s="122">
        <f>SUM(T7:T15)</f>
        <v>1848131.25</v>
      </c>
      <c r="U16" s="132"/>
      <c r="W16" s="127"/>
    </row>
    <row r="17" spans="1:23" s="108" customFormat="1" ht="60" customHeight="1" thickBot="1" x14ac:dyDescent="0.6">
      <c r="B17" s="109"/>
      <c r="C17" s="109"/>
      <c r="D17" s="110"/>
      <c r="E17" s="110"/>
      <c r="F17" s="110"/>
      <c r="G17" s="110"/>
      <c r="H17" s="110"/>
      <c r="I17" s="110"/>
      <c r="J17" s="110"/>
      <c r="K17" s="110"/>
      <c r="L17" s="110"/>
      <c r="M17" s="110"/>
      <c r="N17" s="110"/>
      <c r="O17" s="110"/>
      <c r="P17" s="110"/>
      <c r="Q17" s="110"/>
      <c r="U17" s="127"/>
      <c r="W17" s="127"/>
    </row>
    <row r="18" spans="1:23" s="96" customFormat="1" ht="40.15" customHeight="1" x14ac:dyDescent="0.8">
      <c r="A18" s="189" t="s">
        <v>332</v>
      </c>
      <c r="B18" s="185" t="s">
        <v>3</v>
      </c>
      <c r="C18" s="185" t="s">
        <v>352</v>
      </c>
      <c r="D18" s="185" t="s">
        <v>347</v>
      </c>
      <c r="E18" s="185"/>
      <c r="F18" s="185" t="s">
        <v>348</v>
      </c>
      <c r="G18" s="185"/>
      <c r="H18" s="124"/>
      <c r="I18" s="124"/>
      <c r="J18" s="185" t="s">
        <v>355</v>
      </c>
      <c r="K18" s="185"/>
      <c r="L18" s="185" t="s">
        <v>344</v>
      </c>
      <c r="M18" s="185"/>
      <c r="N18" s="185" t="s">
        <v>345</v>
      </c>
      <c r="O18" s="185"/>
      <c r="P18" s="185" t="s">
        <v>346</v>
      </c>
      <c r="Q18" s="185"/>
      <c r="R18" s="195" t="s">
        <v>328</v>
      </c>
      <c r="S18" s="182" t="str">
        <f>+S4</f>
        <v>RETENUE EPI</v>
      </c>
      <c r="T18" s="182" t="str">
        <f>+T4</f>
        <v>NET A PAYER</v>
      </c>
    </row>
    <row r="19" spans="1:23" s="96" customFormat="1" ht="48" customHeight="1" thickBot="1" x14ac:dyDescent="0.85">
      <c r="A19" s="190"/>
      <c r="B19" s="191"/>
      <c r="C19" s="191"/>
      <c r="D19" s="97" t="s">
        <v>353</v>
      </c>
      <c r="E19" s="97" t="s">
        <v>342</v>
      </c>
      <c r="F19" s="97" t="s">
        <v>353</v>
      </c>
      <c r="G19" s="97" t="s">
        <v>342</v>
      </c>
      <c r="H19" s="97"/>
      <c r="I19" s="97"/>
      <c r="J19" s="97" t="s">
        <v>353</v>
      </c>
      <c r="K19" s="97" t="s">
        <v>342</v>
      </c>
      <c r="L19" s="97" t="s">
        <v>353</v>
      </c>
      <c r="M19" s="97" t="s">
        <v>342</v>
      </c>
      <c r="N19" s="97" t="s">
        <v>353</v>
      </c>
      <c r="O19" s="97" t="s">
        <v>342</v>
      </c>
      <c r="P19" s="97" t="s">
        <v>353</v>
      </c>
      <c r="Q19" s="97" t="s">
        <v>342</v>
      </c>
      <c r="R19" s="196"/>
      <c r="S19" s="183"/>
      <c r="T19" s="183"/>
    </row>
    <row r="20" spans="1:23" s="96" customFormat="1" ht="48" customHeight="1" x14ac:dyDescent="0.8">
      <c r="A20" s="187" t="s">
        <v>351</v>
      </c>
      <c r="B20" s="188"/>
      <c r="C20" s="188"/>
      <c r="D20" s="188"/>
      <c r="E20" s="188"/>
      <c r="F20" s="188"/>
      <c r="G20" s="188"/>
      <c r="H20" s="188"/>
      <c r="I20" s="188"/>
      <c r="J20" s="188"/>
      <c r="K20" s="188"/>
      <c r="L20" s="188"/>
      <c r="M20" s="188"/>
      <c r="N20" s="188"/>
      <c r="O20" s="188"/>
      <c r="P20" s="188"/>
      <c r="Q20" s="188"/>
      <c r="R20" s="119"/>
      <c r="S20" s="119"/>
      <c r="T20" s="119"/>
    </row>
    <row r="21" spans="1:23" s="96" customFormat="1" ht="60" customHeight="1" x14ac:dyDescent="0.8">
      <c r="A21" s="98">
        <v>1</v>
      </c>
      <c r="B21" s="99"/>
      <c r="C21" s="100"/>
      <c r="D21" s="101"/>
      <c r="E21" s="101"/>
      <c r="F21" s="101"/>
      <c r="G21" s="101"/>
      <c r="H21" s="101"/>
      <c r="I21" s="101"/>
      <c r="J21" s="101"/>
      <c r="K21" s="101"/>
      <c r="L21" s="101"/>
      <c r="M21" s="101"/>
      <c r="N21" s="101"/>
      <c r="O21" s="101"/>
      <c r="P21" s="101"/>
      <c r="Q21" s="101"/>
      <c r="R21" s="128">
        <f t="shared" ref="R21:R25" si="2">+SUM(Q21,O21,M21,K21,G21,E21,I21)</f>
        <v>0</v>
      </c>
      <c r="S21" s="119"/>
      <c r="T21" s="128">
        <f t="shared" ref="T21:T26" si="3">+R21-S21</f>
        <v>0</v>
      </c>
    </row>
    <row r="22" spans="1:23" s="96" customFormat="1" ht="79.900000000000006" customHeight="1" x14ac:dyDescent="0.8">
      <c r="A22" s="98">
        <v>2</v>
      </c>
      <c r="B22" s="102"/>
      <c r="C22" s="100"/>
      <c r="D22" s="101"/>
      <c r="E22" s="101"/>
      <c r="F22" s="101"/>
      <c r="G22" s="101"/>
      <c r="H22" s="101"/>
      <c r="I22" s="101"/>
      <c r="J22" s="101"/>
      <c r="K22" s="101"/>
      <c r="L22" s="101"/>
      <c r="M22" s="101"/>
      <c r="N22" s="101"/>
      <c r="O22" s="101"/>
      <c r="P22" s="101"/>
      <c r="Q22" s="101"/>
      <c r="R22" s="128">
        <f t="shared" si="2"/>
        <v>0</v>
      </c>
      <c r="S22" s="119"/>
      <c r="T22" s="128">
        <f t="shared" si="3"/>
        <v>0</v>
      </c>
    </row>
    <row r="23" spans="1:23" s="96" customFormat="1" ht="79.900000000000006" customHeight="1" x14ac:dyDescent="0.8">
      <c r="A23" s="98">
        <v>3</v>
      </c>
      <c r="B23" s="103"/>
      <c r="C23" s="100"/>
      <c r="D23" s="101"/>
      <c r="E23" s="101"/>
      <c r="F23" s="101"/>
      <c r="G23" s="101"/>
      <c r="H23" s="101"/>
      <c r="I23" s="101"/>
      <c r="J23" s="101"/>
      <c r="K23" s="101"/>
      <c r="L23" s="101"/>
      <c r="M23" s="101"/>
      <c r="N23" s="101"/>
      <c r="O23" s="101"/>
      <c r="P23" s="101"/>
      <c r="Q23" s="101"/>
      <c r="R23" s="128">
        <f t="shared" si="2"/>
        <v>0</v>
      </c>
      <c r="S23" s="128"/>
      <c r="T23" s="128">
        <f t="shared" si="3"/>
        <v>0</v>
      </c>
    </row>
    <row r="24" spans="1:23" s="96" customFormat="1" ht="79.900000000000006" customHeight="1" x14ac:dyDescent="0.8">
      <c r="A24" s="98">
        <v>4</v>
      </c>
      <c r="B24" s="103"/>
      <c r="C24" s="100"/>
      <c r="D24" s="104"/>
      <c r="E24" s="104"/>
      <c r="F24" s="104"/>
      <c r="G24" s="104"/>
      <c r="H24" s="104"/>
      <c r="I24" s="104"/>
      <c r="J24" s="104"/>
      <c r="K24" s="104"/>
      <c r="L24" s="104"/>
      <c r="M24" s="104"/>
      <c r="N24" s="104"/>
      <c r="O24" s="104"/>
      <c r="P24" s="104"/>
      <c r="Q24" s="104"/>
      <c r="R24" s="128">
        <f t="shared" si="2"/>
        <v>0</v>
      </c>
      <c r="S24" s="119"/>
      <c r="T24" s="128">
        <f t="shared" si="3"/>
        <v>0</v>
      </c>
    </row>
    <row r="25" spans="1:23" s="96" customFormat="1" ht="79.900000000000006" customHeight="1" thickBot="1" x14ac:dyDescent="0.85">
      <c r="A25" s="111">
        <v>5</v>
      </c>
      <c r="B25" s="112"/>
      <c r="C25" s="113"/>
      <c r="D25" s="114"/>
      <c r="E25" s="114"/>
      <c r="F25" s="114"/>
      <c r="G25" s="114"/>
      <c r="H25" s="114"/>
      <c r="I25" s="114"/>
      <c r="J25" s="114"/>
      <c r="K25" s="114"/>
      <c r="L25" s="114"/>
      <c r="M25" s="114"/>
      <c r="N25" s="114"/>
      <c r="O25" s="114"/>
      <c r="P25" s="114"/>
      <c r="Q25" s="114"/>
      <c r="R25" s="129">
        <f t="shared" si="2"/>
        <v>0</v>
      </c>
      <c r="S25" s="123"/>
      <c r="T25" s="129">
        <f t="shared" si="3"/>
        <v>0</v>
      </c>
    </row>
    <row r="26" spans="1:23" s="108" customFormat="1" ht="60" customHeight="1" thickBot="1" x14ac:dyDescent="0.6">
      <c r="A26" s="106"/>
      <c r="B26" s="186" t="s">
        <v>343</v>
      </c>
      <c r="C26" s="186"/>
      <c r="D26" s="107"/>
      <c r="E26" s="117">
        <f>SUM(E21:E25)</f>
        <v>0</v>
      </c>
      <c r="F26" s="107"/>
      <c r="G26" s="117">
        <f>SUM(G21:G25)</f>
        <v>0</v>
      </c>
      <c r="H26" s="107"/>
      <c r="I26" s="117">
        <f>SUM(I21:I25)</f>
        <v>0</v>
      </c>
      <c r="J26" s="107"/>
      <c r="K26" s="117">
        <f>SUM(K21:K25)</f>
        <v>0</v>
      </c>
      <c r="L26" s="107"/>
      <c r="M26" s="117">
        <f>SUM(M21:M25)</f>
        <v>0</v>
      </c>
      <c r="N26" s="107"/>
      <c r="O26" s="117">
        <f>SUM(O21:O25)</f>
        <v>0</v>
      </c>
      <c r="P26" s="107"/>
      <c r="Q26" s="117">
        <f>SUM(Q21:Q25)</f>
        <v>0</v>
      </c>
      <c r="R26" s="130">
        <f>SUM(R21:R25)</f>
        <v>0</v>
      </c>
      <c r="S26" s="122">
        <f>SUM(S20:S25)</f>
        <v>0</v>
      </c>
      <c r="T26" s="131">
        <f t="shared" si="3"/>
        <v>0</v>
      </c>
      <c r="W26" s="127"/>
    </row>
    <row r="27" spans="1:23" s="96" customFormat="1" ht="60" customHeight="1" x14ac:dyDescent="0.85">
      <c r="A27" s="184" t="s">
        <v>333</v>
      </c>
      <c r="B27" s="184"/>
      <c r="C27" s="184"/>
      <c r="D27" s="115"/>
      <c r="E27" s="115"/>
      <c r="F27" s="115"/>
      <c r="G27" s="115"/>
      <c r="H27" s="115"/>
      <c r="I27" s="115"/>
      <c r="J27" s="115"/>
      <c r="K27" s="115"/>
      <c r="L27" s="115"/>
      <c r="M27" s="115"/>
      <c r="N27" s="115"/>
      <c r="O27" s="184" t="s">
        <v>354</v>
      </c>
      <c r="P27" s="184"/>
      <c r="Q27" s="184"/>
    </row>
    <row r="28" spans="1:23" s="96" customFormat="1" ht="24.9" x14ac:dyDescent="0.8">
      <c r="B28" s="115"/>
      <c r="C28" s="115"/>
      <c r="D28" s="115"/>
      <c r="E28" s="115"/>
      <c r="F28" s="115"/>
      <c r="G28" s="115"/>
      <c r="H28" s="115"/>
      <c r="I28" s="115"/>
      <c r="J28" s="115"/>
      <c r="K28" s="115"/>
      <c r="L28" s="115"/>
      <c r="M28" s="115"/>
      <c r="N28" s="115"/>
      <c r="O28" s="115"/>
      <c r="P28" s="115"/>
      <c r="Q28" s="115"/>
    </row>
  </sheetData>
  <mergeCells count="32">
    <mergeCell ref="A2:T2"/>
    <mergeCell ref="H4:I4"/>
    <mergeCell ref="F18:G18"/>
    <mergeCell ref="F4:G4"/>
    <mergeCell ref="C4:C5"/>
    <mergeCell ref="B4:B5"/>
    <mergeCell ref="D4:E4"/>
    <mergeCell ref="R4:R5"/>
    <mergeCell ref="R18:R19"/>
    <mergeCell ref="B3:Q3"/>
    <mergeCell ref="P4:Q4"/>
    <mergeCell ref="J4:K4"/>
    <mergeCell ref="T4:T5"/>
    <mergeCell ref="N4:O4"/>
    <mergeCell ref="T18:T19"/>
    <mergeCell ref="A4:A5"/>
    <mergeCell ref="S4:S5"/>
    <mergeCell ref="O27:Q27"/>
    <mergeCell ref="S18:S19"/>
    <mergeCell ref="L4:M4"/>
    <mergeCell ref="B26:C26"/>
    <mergeCell ref="A27:C27"/>
    <mergeCell ref="A6:Q6"/>
    <mergeCell ref="A18:A19"/>
    <mergeCell ref="A20:Q20"/>
    <mergeCell ref="B18:B19"/>
    <mergeCell ref="C18:C19"/>
    <mergeCell ref="D18:E18"/>
    <mergeCell ref="J18:K18"/>
    <mergeCell ref="L18:M18"/>
    <mergeCell ref="N18:O18"/>
    <mergeCell ref="P18:Q18"/>
  </mergeCells>
  <pageMargins left="0.9055118110236221" right="0.70866141732283472" top="0.74803149606299213" bottom="0.74803149606299213" header="0.31496062992125984" footer="0.31496062992125984"/>
  <pageSetup paperSize="9" scale="2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2:U33"/>
  <sheetViews>
    <sheetView showGridLines="0" tabSelected="1" topLeftCell="A2" zoomScale="42" zoomScaleNormal="42" workbookViewId="0">
      <pane xSplit="3" ySplit="5" topLeftCell="D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448</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428</v>
      </c>
      <c r="D7" s="136">
        <v>1</v>
      </c>
      <c r="E7" s="135">
        <v>8500</v>
      </c>
      <c r="F7" s="136">
        <v>1</v>
      </c>
      <c r="G7" s="146">
        <v>8500</v>
      </c>
      <c r="H7" s="136"/>
      <c r="I7" s="146"/>
      <c r="J7" s="136">
        <v>1</v>
      </c>
      <c r="K7" s="146">
        <v>8500</v>
      </c>
      <c r="L7" s="136">
        <v>1</v>
      </c>
      <c r="M7" s="146">
        <v>8500</v>
      </c>
      <c r="N7" s="136">
        <v>1</v>
      </c>
      <c r="O7" s="146">
        <v>8500</v>
      </c>
      <c r="P7" s="136">
        <v>1</v>
      </c>
      <c r="Q7" s="146">
        <v>8500</v>
      </c>
      <c r="R7" s="136">
        <f>+SUM(P7,N7,L7,J7,H7,F7,D7)</f>
        <v>6</v>
      </c>
      <c r="S7" s="146">
        <f>+SUM(E7,G7,I7,K7,M7,O7,Q7)</f>
        <v>51000</v>
      </c>
      <c r="T7" s="137"/>
      <c r="U7" s="138">
        <f>+S7-T7</f>
        <v>51000</v>
      </c>
    </row>
    <row r="8" spans="2:21" x14ac:dyDescent="0.8">
      <c r="B8" s="134">
        <v>2</v>
      </c>
      <c r="C8" s="135" t="s">
        <v>429</v>
      </c>
      <c r="D8" s="136">
        <v>0</v>
      </c>
      <c r="E8" s="135">
        <v>0</v>
      </c>
      <c r="F8" s="136">
        <v>0</v>
      </c>
      <c r="G8" s="146">
        <v>0</v>
      </c>
      <c r="H8" s="136"/>
      <c r="I8" s="146"/>
      <c r="J8" s="136">
        <v>1</v>
      </c>
      <c r="K8" s="146">
        <v>8500</v>
      </c>
      <c r="L8" s="136">
        <v>1</v>
      </c>
      <c r="M8" s="146">
        <v>8500</v>
      </c>
      <c r="N8" s="136">
        <v>1</v>
      </c>
      <c r="O8" s="146">
        <v>8500</v>
      </c>
      <c r="P8" s="136">
        <v>1</v>
      </c>
      <c r="Q8" s="146">
        <v>8500</v>
      </c>
      <c r="R8" s="136">
        <f t="shared" ref="R8:R30" si="0">+SUM(P8,N8,L8,J8,H8,F8,D8)</f>
        <v>4</v>
      </c>
      <c r="S8" s="150">
        <f t="shared" ref="S8:S29" si="1">+SUM(E8,G8,I8,K8,M8,O8,Q8)</f>
        <v>34000</v>
      </c>
      <c r="T8" s="137"/>
      <c r="U8" s="138">
        <f t="shared" ref="U8:U30" si="2">+S8-T8</f>
        <v>34000</v>
      </c>
    </row>
    <row r="9" spans="2:21" x14ac:dyDescent="0.8">
      <c r="B9" s="134">
        <v>3</v>
      </c>
      <c r="C9" s="135" t="s">
        <v>430</v>
      </c>
      <c r="D9" s="136">
        <v>0</v>
      </c>
      <c r="E9" s="135">
        <v>0</v>
      </c>
      <c r="F9" s="136">
        <v>0</v>
      </c>
      <c r="G9" s="146">
        <v>0</v>
      </c>
      <c r="H9" s="136"/>
      <c r="I9" s="146"/>
      <c r="J9" s="136">
        <v>0</v>
      </c>
      <c r="K9" s="146">
        <v>0</v>
      </c>
      <c r="L9" s="136">
        <v>0</v>
      </c>
      <c r="M9" s="146">
        <v>0</v>
      </c>
      <c r="N9" s="136">
        <v>0</v>
      </c>
      <c r="O9" s="146">
        <v>0</v>
      </c>
      <c r="P9" s="136">
        <v>0</v>
      </c>
      <c r="Q9" s="146">
        <v>0</v>
      </c>
      <c r="R9" s="136">
        <f t="shared" si="0"/>
        <v>0</v>
      </c>
      <c r="S9" s="150">
        <f t="shared" si="1"/>
        <v>0</v>
      </c>
      <c r="T9" s="137"/>
      <c r="U9" s="138">
        <f t="shared" si="2"/>
        <v>0</v>
      </c>
    </row>
    <row r="10" spans="2:21" x14ac:dyDescent="0.8">
      <c r="B10" s="134">
        <v>4</v>
      </c>
      <c r="C10" s="135" t="s">
        <v>431</v>
      </c>
      <c r="D10" s="136">
        <v>1</v>
      </c>
      <c r="E10" s="135">
        <v>7500</v>
      </c>
      <c r="F10" s="136">
        <v>1</v>
      </c>
      <c r="G10" s="146">
        <v>7500</v>
      </c>
      <c r="H10" s="136"/>
      <c r="I10" s="146"/>
      <c r="J10" s="136">
        <v>1</v>
      </c>
      <c r="K10" s="146">
        <v>7500</v>
      </c>
      <c r="L10" s="136">
        <v>1</v>
      </c>
      <c r="M10" s="146">
        <v>7500</v>
      </c>
      <c r="N10" s="136">
        <v>1</v>
      </c>
      <c r="O10" s="146">
        <v>7500</v>
      </c>
      <c r="P10" s="136">
        <v>1</v>
      </c>
      <c r="Q10" s="146">
        <v>7500</v>
      </c>
      <c r="R10" s="136">
        <f t="shared" si="0"/>
        <v>6</v>
      </c>
      <c r="S10" s="150">
        <f t="shared" si="1"/>
        <v>45000</v>
      </c>
      <c r="T10" s="137"/>
      <c r="U10" s="138">
        <f t="shared" si="2"/>
        <v>45000</v>
      </c>
    </row>
    <row r="11" spans="2:21" x14ac:dyDescent="0.8">
      <c r="B11" s="134">
        <v>5</v>
      </c>
      <c r="C11" s="135" t="s">
        <v>432</v>
      </c>
      <c r="D11" s="136">
        <v>0</v>
      </c>
      <c r="E11" s="135">
        <v>0</v>
      </c>
      <c r="F11" s="136">
        <v>0</v>
      </c>
      <c r="G11" s="146">
        <v>0</v>
      </c>
      <c r="H11" s="136"/>
      <c r="I11" s="146"/>
      <c r="J11" s="136">
        <v>0</v>
      </c>
      <c r="K11" s="146">
        <v>0</v>
      </c>
      <c r="L11" s="136">
        <v>0</v>
      </c>
      <c r="M11" s="146">
        <v>0</v>
      </c>
      <c r="N11" s="136">
        <v>0</v>
      </c>
      <c r="O11" s="146">
        <v>0</v>
      </c>
      <c r="P11" s="136">
        <v>0</v>
      </c>
      <c r="Q11" s="146">
        <v>0</v>
      </c>
      <c r="R11" s="136">
        <f t="shared" si="0"/>
        <v>0</v>
      </c>
      <c r="S11" s="150">
        <f t="shared" si="1"/>
        <v>0</v>
      </c>
      <c r="T11" s="137"/>
      <c r="U11" s="138">
        <f t="shared" si="2"/>
        <v>0</v>
      </c>
    </row>
    <row r="12" spans="2:21" x14ac:dyDescent="0.8">
      <c r="B12" s="134">
        <v>6</v>
      </c>
      <c r="C12" s="135" t="s">
        <v>433</v>
      </c>
      <c r="D12" s="136">
        <v>0</v>
      </c>
      <c r="E12" s="135">
        <v>0</v>
      </c>
      <c r="F12" s="136">
        <v>0</v>
      </c>
      <c r="G12" s="146">
        <v>0</v>
      </c>
      <c r="H12" s="136"/>
      <c r="I12" s="146"/>
      <c r="J12" s="136">
        <v>0</v>
      </c>
      <c r="K12" s="146">
        <v>0</v>
      </c>
      <c r="L12" s="136">
        <v>0</v>
      </c>
      <c r="M12" s="146">
        <v>0</v>
      </c>
      <c r="N12" s="136">
        <v>0</v>
      </c>
      <c r="O12" s="146">
        <v>0</v>
      </c>
      <c r="P12" s="136">
        <v>0</v>
      </c>
      <c r="Q12" s="146">
        <v>0</v>
      </c>
      <c r="R12" s="136">
        <f t="shared" si="0"/>
        <v>0</v>
      </c>
      <c r="S12" s="150">
        <f t="shared" si="1"/>
        <v>0</v>
      </c>
      <c r="T12" s="137"/>
      <c r="U12" s="138">
        <f t="shared" si="2"/>
        <v>0</v>
      </c>
    </row>
    <row r="13" spans="2:21" x14ac:dyDescent="0.8">
      <c r="B13" s="134">
        <v>7</v>
      </c>
      <c r="C13" s="135" t="s">
        <v>434</v>
      </c>
      <c r="D13" s="136">
        <v>1</v>
      </c>
      <c r="E13" s="135">
        <v>7500</v>
      </c>
      <c r="F13" s="136">
        <v>1</v>
      </c>
      <c r="G13" s="146">
        <v>7500</v>
      </c>
      <c r="H13" s="136"/>
      <c r="I13" s="146"/>
      <c r="J13" s="136">
        <v>1</v>
      </c>
      <c r="K13" s="146">
        <v>7500</v>
      </c>
      <c r="L13" s="136">
        <v>1</v>
      </c>
      <c r="M13" s="146">
        <v>7500</v>
      </c>
      <c r="N13" s="136">
        <v>0</v>
      </c>
      <c r="O13" s="146">
        <v>0</v>
      </c>
      <c r="P13" s="136">
        <v>0</v>
      </c>
      <c r="Q13" s="146">
        <v>0</v>
      </c>
      <c r="R13" s="136">
        <f t="shared" si="0"/>
        <v>4</v>
      </c>
      <c r="S13" s="150">
        <f t="shared" si="1"/>
        <v>30000</v>
      </c>
      <c r="T13" s="137"/>
      <c r="U13" s="138">
        <f t="shared" si="2"/>
        <v>30000</v>
      </c>
    </row>
    <row r="14" spans="2:21" x14ac:dyDescent="0.8">
      <c r="B14" s="134">
        <v>8</v>
      </c>
      <c r="C14" s="135" t="s">
        <v>435</v>
      </c>
      <c r="D14" s="136">
        <v>0</v>
      </c>
      <c r="E14" s="135">
        <v>0</v>
      </c>
      <c r="F14" s="136">
        <v>0</v>
      </c>
      <c r="G14" s="146">
        <v>0</v>
      </c>
      <c r="H14" s="136"/>
      <c r="I14" s="146"/>
      <c r="J14" s="136">
        <v>0</v>
      </c>
      <c r="K14" s="146">
        <v>0</v>
      </c>
      <c r="L14" s="136">
        <v>0</v>
      </c>
      <c r="M14" s="146">
        <v>0</v>
      </c>
      <c r="N14" s="136">
        <v>0</v>
      </c>
      <c r="O14" s="146">
        <v>0</v>
      </c>
      <c r="P14" s="136">
        <v>0</v>
      </c>
      <c r="Q14" s="146">
        <v>0</v>
      </c>
      <c r="R14" s="136">
        <f t="shared" si="0"/>
        <v>0</v>
      </c>
      <c r="S14" s="150">
        <f t="shared" si="1"/>
        <v>0</v>
      </c>
      <c r="T14" s="137"/>
      <c r="U14" s="138">
        <f t="shared" si="2"/>
        <v>0</v>
      </c>
    </row>
    <row r="15" spans="2:21" x14ac:dyDescent="0.8">
      <c r="B15" s="134">
        <v>9</v>
      </c>
      <c r="C15" s="135" t="s">
        <v>436</v>
      </c>
      <c r="D15" s="136">
        <v>1</v>
      </c>
      <c r="E15" s="135">
        <v>7500</v>
      </c>
      <c r="F15" s="136">
        <v>1</v>
      </c>
      <c r="G15" s="146">
        <v>7500</v>
      </c>
      <c r="H15" s="136"/>
      <c r="I15" s="146"/>
      <c r="J15" s="136">
        <v>0</v>
      </c>
      <c r="K15" s="146">
        <v>0</v>
      </c>
      <c r="L15" s="136">
        <v>1</v>
      </c>
      <c r="M15" s="146">
        <v>7500</v>
      </c>
      <c r="N15" s="136">
        <v>1</v>
      </c>
      <c r="O15" s="146">
        <v>7500</v>
      </c>
      <c r="P15" s="136">
        <v>1</v>
      </c>
      <c r="Q15" s="146">
        <v>7500</v>
      </c>
      <c r="R15" s="136">
        <f t="shared" si="0"/>
        <v>5</v>
      </c>
      <c r="S15" s="150">
        <f t="shared" si="1"/>
        <v>37500</v>
      </c>
      <c r="T15" s="137"/>
      <c r="U15" s="138">
        <f t="shared" si="2"/>
        <v>37500</v>
      </c>
    </row>
    <row r="16" spans="2:21" x14ac:dyDescent="0.8">
      <c r="B16" s="134">
        <v>10</v>
      </c>
      <c r="C16" s="135"/>
      <c r="D16" s="136"/>
      <c r="E16" s="135"/>
      <c r="F16" s="136"/>
      <c r="G16" s="146"/>
      <c r="H16" s="136"/>
      <c r="I16" s="146"/>
      <c r="J16" s="136"/>
      <c r="K16" s="146"/>
      <c r="L16" s="136"/>
      <c r="M16" s="146"/>
      <c r="N16" s="136"/>
      <c r="O16" s="146"/>
      <c r="P16" s="136"/>
      <c r="Q16" s="146"/>
      <c r="R16" s="136">
        <f t="shared" si="0"/>
        <v>0</v>
      </c>
      <c r="S16" s="150">
        <f t="shared" si="1"/>
        <v>0</v>
      </c>
      <c r="T16" s="137"/>
      <c r="U16" s="138">
        <f t="shared" si="2"/>
        <v>0</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0"/>
        <v>0</v>
      </c>
      <c r="S29" s="150">
        <f t="shared" si="1"/>
        <v>0</v>
      </c>
      <c r="T29" s="137"/>
      <c r="U29" s="138">
        <f t="shared" si="2"/>
        <v>0</v>
      </c>
    </row>
    <row r="30" spans="2:21" ht="25.2" thickBot="1" x14ac:dyDescent="0.85">
      <c r="B30" s="134">
        <v>24</v>
      </c>
      <c r="C30" s="135"/>
      <c r="D30" s="136"/>
      <c r="E30" s="135"/>
      <c r="F30" s="136"/>
      <c r="G30" s="146"/>
      <c r="H30" s="136"/>
      <c r="I30" s="146"/>
      <c r="J30" s="136"/>
      <c r="K30" s="146"/>
      <c r="L30" s="136"/>
      <c r="M30" s="146"/>
      <c r="N30" s="136"/>
      <c r="O30" s="146"/>
      <c r="P30" s="136"/>
      <c r="Q30" s="146"/>
      <c r="R30" s="136">
        <f t="shared" si="0"/>
        <v>0</v>
      </c>
      <c r="S30" s="150">
        <f>+SUM(E30,G30,I30,K30,M30,O30,Q30)</f>
        <v>0</v>
      </c>
      <c r="T30" s="137"/>
      <c r="U30" s="138">
        <f t="shared" si="2"/>
        <v>0</v>
      </c>
    </row>
    <row r="31" spans="2:21" ht="25.8" thickTop="1" thickBot="1" x14ac:dyDescent="0.9">
      <c r="B31" s="139" t="s">
        <v>360</v>
      </c>
      <c r="C31" s="140"/>
      <c r="D31" s="141">
        <f>SUM(D7:D30)</f>
        <v>4</v>
      </c>
      <c r="E31" s="142">
        <f t="shared" ref="E31:Q31" si="3">SUM(E7:E30)</f>
        <v>31000</v>
      </c>
      <c r="F31" s="141">
        <f t="shared" si="3"/>
        <v>4</v>
      </c>
      <c r="G31" s="147">
        <f t="shared" si="3"/>
        <v>31000</v>
      </c>
      <c r="H31" s="141">
        <f t="shared" si="3"/>
        <v>0</v>
      </c>
      <c r="I31" s="147">
        <f t="shared" si="3"/>
        <v>0</v>
      </c>
      <c r="J31" s="141">
        <f t="shared" si="3"/>
        <v>4</v>
      </c>
      <c r="K31" s="147">
        <f t="shared" si="3"/>
        <v>32000</v>
      </c>
      <c r="L31" s="141">
        <f t="shared" si="3"/>
        <v>5</v>
      </c>
      <c r="M31" s="147">
        <f t="shared" si="3"/>
        <v>39500</v>
      </c>
      <c r="N31" s="141">
        <f t="shared" si="3"/>
        <v>4</v>
      </c>
      <c r="O31" s="147">
        <f>SUM(O7:O30)</f>
        <v>32000</v>
      </c>
      <c r="P31" s="141">
        <f t="shared" si="3"/>
        <v>4</v>
      </c>
      <c r="Q31" s="147">
        <f t="shared" si="3"/>
        <v>32000</v>
      </c>
      <c r="R31" s="141">
        <f>+SUM(P31,N31,L31,J31,H31,F31,D31)</f>
        <v>25</v>
      </c>
      <c r="S31" s="151">
        <f>+SUM(E31,G31,I31,K31,M31,O31,Q31)</f>
        <v>197500</v>
      </c>
      <c r="T31" s="143">
        <f>SUBTOTAL(109,MACONS!$T$7:$T$30)</f>
        <v>0</v>
      </c>
      <c r="U31" s="144">
        <f>SUBTOTAL(109,MACONS!$U$7:$U$30)</f>
        <v>197500</v>
      </c>
    </row>
    <row r="33" spans="16:19" x14ac:dyDescent="0.8">
      <c r="P33" s="96" t="s">
        <v>361</v>
      </c>
      <c r="R33" s="125">
        <f>+MACONS!$R$31-SUM('SUIVI HEBDOMADAIRE PAIE'!D7,'SUIVI HEBDOMADAIRE PAIE'!F7,'SUIVI HEBDOMADAIRE PAIE'!H7,'SUIVI HEBDOMADAIRE PAIE'!J7,'SUIVI HEBDOMADAIRE PAIE'!L7,'SUIVI HEBDOMADAIRE PAIE'!N7,'SUIVI HEBDOMADAIRE PAIE'!P7)</f>
        <v>0</v>
      </c>
      <c r="S33" s="125"/>
    </row>
  </sheetData>
  <mergeCells count="13">
    <mergeCell ref="B3:U3"/>
    <mergeCell ref="D5:E5"/>
    <mergeCell ref="B5:B6"/>
    <mergeCell ref="C5:C6"/>
    <mergeCell ref="F5:G5"/>
    <mergeCell ref="H5:I5"/>
    <mergeCell ref="J5:K5"/>
    <mergeCell ref="L5:M5"/>
    <mergeCell ref="N5:O5"/>
    <mergeCell ref="P5:Q5"/>
    <mergeCell ref="R5:S5"/>
    <mergeCell ref="T5:T6"/>
    <mergeCell ref="U5:U6"/>
  </mergeCells>
  <phoneticPr fontId="30"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2:U33"/>
  <sheetViews>
    <sheetView showGridLines="0" topLeftCell="A2" zoomScale="46" zoomScaleNormal="46" workbookViewId="0">
      <pane xSplit="3" ySplit="5" topLeftCell="G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449</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406</v>
      </c>
      <c r="D7" s="136">
        <v>1</v>
      </c>
      <c r="E7" s="135">
        <v>7500</v>
      </c>
      <c r="F7" s="136">
        <v>1</v>
      </c>
      <c r="G7" s="146">
        <v>7500</v>
      </c>
      <c r="H7" s="136"/>
      <c r="I7" s="146"/>
      <c r="J7" s="136">
        <v>1</v>
      </c>
      <c r="K7" s="146">
        <v>7500</v>
      </c>
      <c r="L7" s="136">
        <v>1</v>
      </c>
      <c r="M7" s="146">
        <v>7500</v>
      </c>
      <c r="N7" s="136">
        <v>1</v>
      </c>
      <c r="O7" s="146">
        <v>7500</v>
      </c>
      <c r="P7" s="136">
        <v>1</v>
      </c>
      <c r="Q7" s="146">
        <v>7500</v>
      </c>
      <c r="R7" s="136">
        <f>+SUM(P7,N7,L7,J7,H7,F7,D7)</f>
        <v>6</v>
      </c>
      <c r="S7" s="146">
        <f>+SUM(E7,G7,I7,K7,M7,O7,Q7)</f>
        <v>45000</v>
      </c>
      <c r="T7" s="137"/>
      <c r="U7" s="138">
        <f>+S7-T7</f>
        <v>45000</v>
      </c>
    </row>
    <row r="8" spans="2:21" x14ac:dyDescent="0.8">
      <c r="B8" s="134">
        <v>2</v>
      </c>
      <c r="C8" s="135" t="s">
        <v>407</v>
      </c>
      <c r="D8" s="136">
        <v>1</v>
      </c>
      <c r="E8" s="135">
        <v>7500</v>
      </c>
      <c r="F8" s="136">
        <v>1</v>
      </c>
      <c r="G8" s="146">
        <v>7500</v>
      </c>
      <c r="H8" s="136">
        <v>1</v>
      </c>
      <c r="I8" s="146">
        <v>7500</v>
      </c>
      <c r="J8" s="136">
        <v>1</v>
      </c>
      <c r="K8" s="146">
        <v>7500</v>
      </c>
      <c r="L8" s="136">
        <v>1</v>
      </c>
      <c r="M8" s="146">
        <v>7500</v>
      </c>
      <c r="N8" s="136">
        <v>1</v>
      </c>
      <c r="O8" s="146">
        <v>7500</v>
      </c>
      <c r="P8" s="136">
        <v>1</v>
      </c>
      <c r="Q8" s="146">
        <v>7500</v>
      </c>
      <c r="R8" s="136">
        <f t="shared" ref="R8:R30" si="0">+SUM(P8,N8,L8,J8,H8,F8,D8)</f>
        <v>7</v>
      </c>
      <c r="S8" s="150">
        <f t="shared" ref="S8:S29" si="1">+SUM(E8,G8,I8,K8,M8,O8,Q8)</f>
        <v>52500</v>
      </c>
      <c r="T8" s="137"/>
      <c r="U8" s="138">
        <f t="shared" ref="U8:U30" si="2">+S8-T8</f>
        <v>52500</v>
      </c>
    </row>
    <row r="9" spans="2:21" x14ac:dyDescent="0.8">
      <c r="B9" s="134">
        <v>3</v>
      </c>
      <c r="C9" s="135" t="s">
        <v>408</v>
      </c>
      <c r="D9" s="136">
        <v>1</v>
      </c>
      <c r="E9" s="135">
        <v>7500</v>
      </c>
      <c r="F9" s="136">
        <v>0</v>
      </c>
      <c r="G9" s="146">
        <v>0</v>
      </c>
      <c r="H9" s="136"/>
      <c r="I9" s="146"/>
      <c r="J9" s="136">
        <v>1</v>
      </c>
      <c r="K9" s="146">
        <v>7500</v>
      </c>
      <c r="L9" s="136">
        <v>1</v>
      </c>
      <c r="M9" s="146">
        <v>7500</v>
      </c>
      <c r="N9" s="136">
        <v>1</v>
      </c>
      <c r="O9" s="146">
        <v>7500</v>
      </c>
      <c r="P9" s="136">
        <v>1</v>
      </c>
      <c r="Q9" s="146">
        <v>7500</v>
      </c>
      <c r="R9" s="136">
        <f t="shared" si="0"/>
        <v>5</v>
      </c>
      <c r="S9" s="150">
        <f t="shared" si="1"/>
        <v>37500</v>
      </c>
      <c r="T9" s="137"/>
      <c r="U9" s="138">
        <f t="shared" si="2"/>
        <v>37500</v>
      </c>
    </row>
    <row r="10" spans="2:21" x14ac:dyDescent="0.8">
      <c r="B10" s="134">
        <v>4</v>
      </c>
      <c r="C10" s="135" t="s">
        <v>409</v>
      </c>
      <c r="D10" s="136">
        <v>1</v>
      </c>
      <c r="E10" s="135">
        <v>7500</v>
      </c>
      <c r="F10" s="136">
        <v>1</v>
      </c>
      <c r="G10" s="146">
        <v>7500</v>
      </c>
      <c r="H10" s="136">
        <v>1</v>
      </c>
      <c r="I10" s="146">
        <v>7500</v>
      </c>
      <c r="J10" s="136">
        <v>1</v>
      </c>
      <c r="K10" s="146">
        <v>7500</v>
      </c>
      <c r="L10" s="136">
        <v>1</v>
      </c>
      <c r="M10" s="146">
        <v>7500</v>
      </c>
      <c r="N10" s="136">
        <v>1</v>
      </c>
      <c r="O10" s="146">
        <v>7500</v>
      </c>
      <c r="P10" s="136">
        <v>1</v>
      </c>
      <c r="Q10" s="146">
        <v>7500</v>
      </c>
      <c r="R10" s="136">
        <f t="shared" si="0"/>
        <v>7</v>
      </c>
      <c r="S10" s="150">
        <f t="shared" si="1"/>
        <v>52500</v>
      </c>
      <c r="T10" s="137"/>
      <c r="U10" s="138">
        <f t="shared" si="2"/>
        <v>52500</v>
      </c>
    </row>
    <row r="11" spans="2:21" x14ac:dyDescent="0.8">
      <c r="B11" s="134">
        <v>5</v>
      </c>
      <c r="C11" s="135" t="s">
        <v>410</v>
      </c>
      <c r="D11" s="136">
        <v>0</v>
      </c>
      <c r="E11" s="135">
        <v>0</v>
      </c>
      <c r="F11" s="136">
        <v>0</v>
      </c>
      <c r="G11" s="146">
        <v>0</v>
      </c>
      <c r="H11" s="136"/>
      <c r="I11" s="146"/>
      <c r="J11" s="136">
        <v>0</v>
      </c>
      <c r="K11" s="146">
        <v>0</v>
      </c>
      <c r="L11" s="136">
        <v>0</v>
      </c>
      <c r="M11" s="146">
        <v>0</v>
      </c>
      <c r="N11" s="136">
        <v>0</v>
      </c>
      <c r="O11" s="146">
        <v>0</v>
      </c>
      <c r="P11" s="136">
        <v>0</v>
      </c>
      <c r="Q11" s="146">
        <v>0</v>
      </c>
      <c r="R11" s="136">
        <f t="shared" si="0"/>
        <v>0</v>
      </c>
      <c r="S11" s="150">
        <f t="shared" si="1"/>
        <v>0</v>
      </c>
      <c r="T11" s="137"/>
      <c r="U11" s="138">
        <f t="shared" si="2"/>
        <v>0</v>
      </c>
    </row>
    <row r="12" spans="2:21" x14ac:dyDescent="0.8">
      <c r="B12" s="134">
        <v>6</v>
      </c>
      <c r="C12" s="135" t="s">
        <v>411</v>
      </c>
      <c r="D12" s="136">
        <v>1</v>
      </c>
      <c r="E12" s="135">
        <v>8500</v>
      </c>
      <c r="F12" s="136">
        <v>1</v>
      </c>
      <c r="G12" s="146">
        <v>8500</v>
      </c>
      <c r="H12" s="136">
        <v>1</v>
      </c>
      <c r="I12" s="146">
        <v>8500</v>
      </c>
      <c r="J12" s="136">
        <v>1</v>
      </c>
      <c r="K12" s="146">
        <v>8500</v>
      </c>
      <c r="L12" s="136">
        <v>1</v>
      </c>
      <c r="M12" s="146">
        <v>8500</v>
      </c>
      <c r="N12" s="136">
        <v>1</v>
      </c>
      <c r="O12" s="146">
        <v>8500</v>
      </c>
      <c r="P12" s="136">
        <v>1</v>
      </c>
      <c r="Q12" s="146">
        <v>8500</v>
      </c>
      <c r="R12" s="136">
        <f t="shared" si="0"/>
        <v>7</v>
      </c>
      <c r="S12" s="150">
        <f t="shared" si="1"/>
        <v>59500</v>
      </c>
      <c r="T12" s="137"/>
      <c r="U12" s="138">
        <f t="shared" si="2"/>
        <v>59500</v>
      </c>
    </row>
    <row r="13" spans="2:21" x14ac:dyDescent="0.8">
      <c r="B13" s="134">
        <v>7</v>
      </c>
      <c r="C13" s="135" t="s">
        <v>412</v>
      </c>
      <c r="D13" s="136">
        <v>1</v>
      </c>
      <c r="E13" s="135">
        <v>7500</v>
      </c>
      <c r="F13" s="136">
        <v>1</v>
      </c>
      <c r="G13" s="146">
        <v>7500</v>
      </c>
      <c r="H13" s="136"/>
      <c r="I13" s="146"/>
      <c r="J13" s="136">
        <v>1</v>
      </c>
      <c r="K13" s="146">
        <v>7500</v>
      </c>
      <c r="L13" s="136">
        <v>0</v>
      </c>
      <c r="M13" s="146">
        <v>0</v>
      </c>
      <c r="N13" s="136">
        <v>0</v>
      </c>
      <c r="O13" s="146">
        <v>0</v>
      </c>
      <c r="P13" s="136">
        <v>0</v>
      </c>
      <c r="Q13" s="146">
        <v>0</v>
      </c>
      <c r="R13" s="136">
        <f t="shared" si="0"/>
        <v>3</v>
      </c>
      <c r="S13" s="150">
        <f t="shared" si="1"/>
        <v>22500</v>
      </c>
      <c r="T13" s="137"/>
      <c r="U13" s="138">
        <f t="shared" si="2"/>
        <v>22500</v>
      </c>
    </row>
    <row r="14" spans="2:21" x14ac:dyDescent="0.8">
      <c r="B14" s="134">
        <v>8</v>
      </c>
      <c r="C14" s="135" t="s">
        <v>413</v>
      </c>
      <c r="D14" s="136">
        <v>1</v>
      </c>
      <c r="E14" s="135">
        <v>7500</v>
      </c>
      <c r="F14" s="136">
        <v>1</v>
      </c>
      <c r="G14" s="146">
        <v>7500</v>
      </c>
      <c r="H14" s="136"/>
      <c r="I14" s="146"/>
      <c r="J14" s="136">
        <v>1</v>
      </c>
      <c r="K14" s="146">
        <v>7500</v>
      </c>
      <c r="L14" s="136">
        <v>1</v>
      </c>
      <c r="M14" s="146">
        <v>7500</v>
      </c>
      <c r="N14" s="136">
        <v>1</v>
      </c>
      <c r="O14" s="146">
        <v>7500</v>
      </c>
      <c r="P14" s="136">
        <v>1</v>
      </c>
      <c r="Q14" s="146">
        <v>7500</v>
      </c>
      <c r="R14" s="136">
        <f t="shared" si="0"/>
        <v>6</v>
      </c>
      <c r="S14" s="150">
        <f t="shared" si="1"/>
        <v>45000</v>
      </c>
      <c r="T14" s="137"/>
      <c r="U14" s="138">
        <f t="shared" si="2"/>
        <v>45000</v>
      </c>
    </row>
    <row r="15" spans="2:21" x14ac:dyDescent="0.8">
      <c r="B15" s="134">
        <v>9</v>
      </c>
      <c r="C15" s="135" t="s">
        <v>414</v>
      </c>
      <c r="D15" s="136">
        <v>1</v>
      </c>
      <c r="E15" s="135">
        <v>7500</v>
      </c>
      <c r="F15" s="136">
        <v>1</v>
      </c>
      <c r="G15" s="146">
        <v>7500</v>
      </c>
      <c r="H15" s="136"/>
      <c r="I15" s="146"/>
      <c r="J15" s="136">
        <v>1</v>
      </c>
      <c r="K15" s="146">
        <v>7500</v>
      </c>
      <c r="L15" s="136">
        <v>1</v>
      </c>
      <c r="M15" s="146">
        <v>7500</v>
      </c>
      <c r="N15" s="136">
        <v>1</v>
      </c>
      <c r="O15" s="146">
        <v>7500</v>
      </c>
      <c r="P15" s="136">
        <v>1</v>
      </c>
      <c r="Q15" s="146">
        <v>7500</v>
      </c>
      <c r="R15" s="136">
        <f t="shared" si="0"/>
        <v>6</v>
      </c>
      <c r="S15" s="150">
        <f t="shared" si="1"/>
        <v>45000</v>
      </c>
      <c r="T15" s="137"/>
      <c r="U15" s="138">
        <f t="shared" si="2"/>
        <v>45000</v>
      </c>
    </row>
    <row r="16" spans="2:21" x14ac:dyDescent="0.8">
      <c r="B16" s="134">
        <v>10</v>
      </c>
      <c r="C16" s="135" t="s">
        <v>415</v>
      </c>
      <c r="D16" s="136">
        <v>1</v>
      </c>
      <c r="E16" s="135">
        <v>7500</v>
      </c>
      <c r="F16" s="136">
        <v>1</v>
      </c>
      <c r="G16" s="146">
        <v>7500</v>
      </c>
      <c r="H16" s="136"/>
      <c r="I16" s="146"/>
      <c r="J16" s="136">
        <v>1</v>
      </c>
      <c r="K16" s="146">
        <v>7500</v>
      </c>
      <c r="L16" s="136">
        <v>1</v>
      </c>
      <c r="M16" s="146">
        <v>7500</v>
      </c>
      <c r="N16" s="136">
        <v>1</v>
      </c>
      <c r="O16" s="146">
        <v>7500</v>
      </c>
      <c r="P16" s="136">
        <v>1</v>
      </c>
      <c r="Q16" s="146">
        <v>7500</v>
      </c>
      <c r="R16" s="136">
        <f t="shared" si="0"/>
        <v>6</v>
      </c>
      <c r="S16" s="150">
        <f t="shared" si="1"/>
        <v>45000</v>
      </c>
      <c r="T16" s="137"/>
      <c r="U16" s="138">
        <f t="shared" si="2"/>
        <v>45000</v>
      </c>
    </row>
    <row r="17" spans="2:21" x14ac:dyDescent="0.8">
      <c r="B17" s="134">
        <v>11</v>
      </c>
      <c r="C17" s="135" t="s">
        <v>416</v>
      </c>
      <c r="D17" s="136">
        <v>1</v>
      </c>
      <c r="E17" s="135">
        <v>7500</v>
      </c>
      <c r="F17" s="136">
        <v>1</v>
      </c>
      <c r="G17" s="146">
        <v>7500</v>
      </c>
      <c r="H17" s="136"/>
      <c r="I17" s="146"/>
      <c r="J17" s="136">
        <v>1</v>
      </c>
      <c r="K17" s="146">
        <v>7500</v>
      </c>
      <c r="L17" s="136">
        <v>1</v>
      </c>
      <c r="M17" s="146">
        <v>7500</v>
      </c>
      <c r="N17" s="136">
        <v>1</v>
      </c>
      <c r="O17" s="146">
        <v>7500</v>
      </c>
      <c r="P17" s="136">
        <v>0</v>
      </c>
      <c r="Q17" s="146">
        <v>0</v>
      </c>
      <c r="R17" s="136">
        <f t="shared" si="0"/>
        <v>5</v>
      </c>
      <c r="S17" s="150">
        <f t="shared" si="1"/>
        <v>37500</v>
      </c>
      <c r="T17" s="137"/>
      <c r="U17" s="138">
        <f t="shared" si="2"/>
        <v>37500</v>
      </c>
    </row>
    <row r="18" spans="2:21" x14ac:dyDescent="0.8">
      <c r="B18" s="134">
        <v>12</v>
      </c>
      <c r="C18" s="135" t="s">
        <v>417</v>
      </c>
      <c r="D18" s="136">
        <v>1</v>
      </c>
      <c r="E18" s="135">
        <v>7500</v>
      </c>
      <c r="F18" s="136">
        <v>1</v>
      </c>
      <c r="G18" s="146">
        <v>7500</v>
      </c>
      <c r="H18" s="136"/>
      <c r="I18" s="146"/>
      <c r="J18" s="136">
        <v>1</v>
      </c>
      <c r="K18" s="146">
        <v>7500</v>
      </c>
      <c r="L18" s="136">
        <v>1</v>
      </c>
      <c r="M18" s="146">
        <v>7500</v>
      </c>
      <c r="N18" s="136">
        <v>1</v>
      </c>
      <c r="O18" s="146">
        <v>7500</v>
      </c>
      <c r="P18" s="136">
        <v>1</v>
      </c>
      <c r="Q18" s="146">
        <v>7500</v>
      </c>
      <c r="R18" s="136">
        <f t="shared" si="0"/>
        <v>6</v>
      </c>
      <c r="S18" s="150">
        <f t="shared" si="1"/>
        <v>45000</v>
      </c>
      <c r="T18" s="137"/>
      <c r="U18" s="138">
        <f t="shared" si="2"/>
        <v>45000</v>
      </c>
    </row>
    <row r="19" spans="2:21" x14ac:dyDescent="0.8">
      <c r="B19" s="134">
        <v>13</v>
      </c>
      <c r="C19" s="135" t="s">
        <v>418</v>
      </c>
      <c r="D19" s="136">
        <v>1</v>
      </c>
      <c r="E19" s="135">
        <v>7500</v>
      </c>
      <c r="F19" s="136">
        <v>1</v>
      </c>
      <c r="G19" s="146">
        <v>7500</v>
      </c>
      <c r="H19" s="136"/>
      <c r="I19" s="146"/>
      <c r="J19" s="136">
        <v>1</v>
      </c>
      <c r="K19" s="146">
        <v>7500</v>
      </c>
      <c r="L19" s="136">
        <v>1</v>
      </c>
      <c r="M19" s="146">
        <v>7500</v>
      </c>
      <c r="N19" s="136">
        <v>0.5</v>
      </c>
      <c r="O19" s="146">
        <v>3750</v>
      </c>
      <c r="P19" s="136">
        <v>0</v>
      </c>
      <c r="Q19" s="146">
        <v>0</v>
      </c>
      <c r="R19" s="136">
        <f t="shared" si="0"/>
        <v>4.5</v>
      </c>
      <c r="S19" s="150">
        <f t="shared" si="1"/>
        <v>33750</v>
      </c>
      <c r="T19" s="137"/>
      <c r="U19" s="138">
        <f t="shared" si="2"/>
        <v>33750</v>
      </c>
    </row>
    <row r="20" spans="2:21" x14ac:dyDescent="0.8">
      <c r="B20" s="134">
        <v>14</v>
      </c>
      <c r="C20" s="135" t="s">
        <v>419</v>
      </c>
      <c r="D20" s="136">
        <v>1</v>
      </c>
      <c r="E20" s="135">
        <v>7500</v>
      </c>
      <c r="F20" s="136">
        <v>1</v>
      </c>
      <c r="G20" s="146">
        <v>7500</v>
      </c>
      <c r="H20" s="136">
        <v>1</v>
      </c>
      <c r="I20" s="146">
        <v>7500</v>
      </c>
      <c r="J20" s="136">
        <v>1</v>
      </c>
      <c r="K20" s="146">
        <v>7500</v>
      </c>
      <c r="L20" s="136">
        <v>1</v>
      </c>
      <c r="M20" s="146">
        <v>7500</v>
      </c>
      <c r="N20" s="136">
        <v>1</v>
      </c>
      <c r="O20" s="146">
        <v>7500</v>
      </c>
      <c r="P20" s="136">
        <v>1</v>
      </c>
      <c r="Q20" s="146">
        <v>7500</v>
      </c>
      <c r="R20" s="136">
        <f t="shared" si="0"/>
        <v>7</v>
      </c>
      <c r="S20" s="150">
        <f t="shared" si="1"/>
        <v>52500</v>
      </c>
      <c r="T20" s="137"/>
      <c r="U20" s="138">
        <f t="shared" si="2"/>
        <v>52500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0"/>
        <v>0</v>
      </c>
      <c r="S29" s="150">
        <f t="shared" si="1"/>
        <v>0</v>
      </c>
      <c r="T29" s="137"/>
      <c r="U29" s="138">
        <f t="shared" si="2"/>
        <v>0</v>
      </c>
    </row>
    <row r="30" spans="2:21" ht="25.2" thickBot="1" x14ac:dyDescent="0.85">
      <c r="B30" s="134">
        <v>24</v>
      </c>
      <c r="C30" s="135"/>
      <c r="D30" s="136"/>
      <c r="E30" s="135"/>
      <c r="F30" s="136"/>
      <c r="G30" s="146"/>
      <c r="H30" s="136"/>
      <c r="I30" s="146"/>
      <c r="J30" s="136"/>
      <c r="K30" s="146"/>
      <c r="L30" s="136"/>
      <c r="M30" s="146"/>
      <c r="N30" s="136"/>
      <c r="O30" s="146"/>
      <c r="P30" s="136"/>
      <c r="Q30" s="146"/>
      <c r="R30" s="136">
        <f t="shared" si="0"/>
        <v>0</v>
      </c>
      <c r="S30" s="150">
        <f>+SUM(E30,G30,I30,K30,M30,O30,Q30)</f>
        <v>0</v>
      </c>
      <c r="T30" s="137"/>
      <c r="U30" s="138">
        <f t="shared" si="2"/>
        <v>0</v>
      </c>
    </row>
    <row r="31" spans="2:21" ht="25.8" thickTop="1" thickBot="1" x14ac:dyDescent="0.9">
      <c r="B31" s="139" t="s">
        <v>360</v>
      </c>
      <c r="C31" s="140"/>
      <c r="D31" s="141">
        <f>SUM(D7:D30)</f>
        <v>13</v>
      </c>
      <c r="E31" s="142">
        <f t="shared" ref="E31:P31" si="3">SUM(E7:E30)</f>
        <v>98500</v>
      </c>
      <c r="F31" s="141">
        <f t="shared" si="3"/>
        <v>12</v>
      </c>
      <c r="G31" s="147">
        <f t="shared" si="3"/>
        <v>91000</v>
      </c>
      <c r="H31" s="141">
        <f t="shared" si="3"/>
        <v>4</v>
      </c>
      <c r="I31" s="147">
        <f t="shared" si="3"/>
        <v>31000</v>
      </c>
      <c r="J31" s="141">
        <f t="shared" si="3"/>
        <v>13</v>
      </c>
      <c r="K31" s="147">
        <f t="shared" si="3"/>
        <v>98500</v>
      </c>
      <c r="L31" s="141">
        <f t="shared" si="3"/>
        <v>12</v>
      </c>
      <c r="M31" s="147">
        <f t="shared" si="3"/>
        <v>91000</v>
      </c>
      <c r="N31" s="141">
        <f t="shared" si="3"/>
        <v>11.5</v>
      </c>
      <c r="O31" s="147">
        <f t="shared" si="3"/>
        <v>87250</v>
      </c>
      <c r="P31" s="141">
        <f t="shared" si="3"/>
        <v>10</v>
      </c>
      <c r="Q31" s="147">
        <f>SUM(Q7:Q30)</f>
        <v>76000</v>
      </c>
      <c r="R31" s="141">
        <f>+SUM(P31,N31,L31,J31,H31,F31,D31)</f>
        <v>75.5</v>
      </c>
      <c r="S31" s="151">
        <f>+SUM(E31,G31,I31,K31,M31,O31,Q31)</f>
        <v>573250</v>
      </c>
      <c r="T31" s="143">
        <f>SUBTOTAL(109,MACONS!$T$7:$T$30)</f>
        <v>0</v>
      </c>
      <c r="U31" s="144">
        <f>SUBTOTAL(109,MACONS!$U$7:$U$30)</f>
        <v>197500</v>
      </c>
    </row>
    <row r="33" spans="16:19" x14ac:dyDescent="0.8">
      <c r="P33" s="96" t="s">
        <v>361</v>
      </c>
      <c r="R33" s="125">
        <f>+MACONS!$R$31-SUM('SUIVI HEBDOMADAIRE PAIE'!D7,'SUIVI HEBDOMADAIRE PAIE'!F7,'SUIVI HEBDOMADAIRE PAIE'!H7,'SUIVI HEBDOMADAIRE PAIE'!J7,'SUIVI HEBDOMADAIRE PAIE'!L7,'SUIVI HEBDOMADAIRE PAIE'!N7,'SUIVI HEBDOMADAIRE PAIE'!P7)</f>
        <v>0</v>
      </c>
      <c r="S33"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2:U32"/>
  <sheetViews>
    <sheetView showGridLines="0" topLeftCell="A2" zoomScale="37" zoomScaleNormal="37" workbookViewId="0">
      <pane xSplit="3" ySplit="5" topLeftCell="D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450</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420</v>
      </c>
      <c r="D7" s="136">
        <v>1</v>
      </c>
      <c r="E7" s="135">
        <v>8500</v>
      </c>
      <c r="F7" s="136">
        <v>0</v>
      </c>
      <c r="G7" s="146">
        <v>0</v>
      </c>
      <c r="H7" s="136">
        <v>1</v>
      </c>
      <c r="I7" s="146">
        <v>8500</v>
      </c>
      <c r="J7" s="136">
        <v>1</v>
      </c>
      <c r="K7" s="146">
        <v>8500</v>
      </c>
      <c r="L7" s="136">
        <v>1</v>
      </c>
      <c r="M7" s="146">
        <v>8500</v>
      </c>
      <c r="N7" s="136">
        <v>1</v>
      </c>
      <c r="O7" s="146">
        <v>8500</v>
      </c>
      <c r="P7" s="136">
        <v>1</v>
      </c>
      <c r="Q7" s="146">
        <v>8500</v>
      </c>
      <c r="R7" s="136">
        <f>+SUM(P7,N7,L7,J7,H7,F7,D7)</f>
        <v>6</v>
      </c>
      <c r="S7" s="146">
        <f>+SUM(E7,G7,I7,K7,M7,O7,Q7)</f>
        <v>51000</v>
      </c>
      <c r="T7" s="137"/>
      <c r="U7" s="138">
        <f>+S7-T7</f>
        <v>51000</v>
      </c>
    </row>
    <row r="8" spans="2:21" x14ac:dyDescent="0.8">
      <c r="B8" s="134">
        <v>2</v>
      </c>
      <c r="C8" s="135" t="s">
        <v>421</v>
      </c>
      <c r="D8" s="136">
        <v>1</v>
      </c>
      <c r="E8" s="135">
        <v>8500</v>
      </c>
      <c r="F8" s="136">
        <v>1</v>
      </c>
      <c r="G8" s="146">
        <v>8500</v>
      </c>
      <c r="H8" s="136">
        <v>1</v>
      </c>
      <c r="I8" s="146">
        <v>8500</v>
      </c>
      <c r="J8" s="136">
        <v>1</v>
      </c>
      <c r="K8" s="146">
        <v>8500</v>
      </c>
      <c r="L8" s="136">
        <v>1</v>
      </c>
      <c r="M8" s="146">
        <v>8500</v>
      </c>
      <c r="N8" s="136">
        <v>1</v>
      </c>
      <c r="O8" s="146">
        <v>8500</v>
      </c>
      <c r="P8" s="136">
        <v>1</v>
      </c>
      <c r="Q8" s="146">
        <v>8500</v>
      </c>
      <c r="R8" s="136">
        <f t="shared" ref="R8:R29" si="0">+SUM(P8,N8,L8,J8,H8,F8,D8)</f>
        <v>7</v>
      </c>
      <c r="S8" s="150">
        <f t="shared" ref="S8:S28" si="1">+SUM(E8,G8,I8,K8,M8,O8,Q8)</f>
        <v>59500</v>
      </c>
      <c r="T8" s="137"/>
      <c r="U8" s="138">
        <f t="shared" ref="U8:U29" si="2">+S8-T8</f>
        <v>59500</v>
      </c>
    </row>
    <row r="9" spans="2:21" x14ac:dyDescent="0.8">
      <c r="B9" s="134">
        <v>3</v>
      </c>
      <c r="C9" s="135" t="s">
        <v>422</v>
      </c>
      <c r="D9" s="136">
        <v>1</v>
      </c>
      <c r="E9" s="135">
        <v>7500</v>
      </c>
      <c r="F9" s="136">
        <v>1</v>
      </c>
      <c r="G9" s="146">
        <v>7500</v>
      </c>
      <c r="H9" s="136"/>
      <c r="I9" s="146"/>
      <c r="J9" s="136">
        <v>1</v>
      </c>
      <c r="K9" s="146">
        <v>7500</v>
      </c>
      <c r="L9" s="136">
        <v>1</v>
      </c>
      <c r="M9" s="146">
        <v>7500</v>
      </c>
      <c r="N9" s="136">
        <v>1</v>
      </c>
      <c r="O9" s="146">
        <v>7500</v>
      </c>
      <c r="P9" s="136">
        <v>1</v>
      </c>
      <c r="Q9" s="146">
        <v>7500</v>
      </c>
      <c r="R9" s="136">
        <f t="shared" si="0"/>
        <v>6</v>
      </c>
      <c r="S9" s="150">
        <f t="shared" si="1"/>
        <v>45000</v>
      </c>
      <c r="T9" s="137"/>
      <c r="U9" s="138">
        <f t="shared" si="2"/>
        <v>45000</v>
      </c>
    </row>
    <row r="10" spans="2:21" x14ac:dyDescent="0.8">
      <c r="B10" s="134">
        <v>4</v>
      </c>
      <c r="C10" s="135" t="s">
        <v>423</v>
      </c>
      <c r="D10" s="136">
        <v>1</v>
      </c>
      <c r="E10" s="135">
        <v>7500</v>
      </c>
      <c r="F10" s="136">
        <v>1</v>
      </c>
      <c r="G10" s="146">
        <v>7500</v>
      </c>
      <c r="H10" s="136"/>
      <c r="I10" s="146"/>
      <c r="J10" s="136">
        <v>1</v>
      </c>
      <c r="K10" s="146">
        <v>7500</v>
      </c>
      <c r="L10" s="136">
        <v>0</v>
      </c>
      <c r="M10" s="146">
        <v>0</v>
      </c>
      <c r="N10" s="136">
        <v>0</v>
      </c>
      <c r="O10" s="146">
        <v>0</v>
      </c>
      <c r="P10" s="136">
        <v>0</v>
      </c>
      <c r="Q10" s="146">
        <v>0</v>
      </c>
      <c r="R10" s="136">
        <f t="shared" si="0"/>
        <v>3</v>
      </c>
      <c r="S10" s="150">
        <f t="shared" si="1"/>
        <v>22500</v>
      </c>
      <c r="T10" s="137"/>
      <c r="U10" s="138">
        <f t="shared" si="2"/>
        <v>22500</v>
      </c>
    </row>
    <row r="11" spans="2:21" x14ac:dyDescent="0.8">
      <c r="B11" s="134">
        <v>5</v>
      </c>
      <c r="C11" s="135" t="s">
        <v>424</v>
      </c>
      <c r="D11" s="136">
        <v>0</v>
      </c>
      <c r="E11" s="135">
        <v>0</v>
      </c>
      <c r="F11" s="136">
        <v>1</v>
      </c>
      <c r="G11" s="146">
        <v>7500</v>
      </c>
      <c r="H11" s="136"/>
      <c r="I11" s="146"/>
      <c r="J11" s="136">
        <v>1</v>
      </c>
      <c r="K11" s="146">
        <v>7500</v>
      </c>
      <c r="L11" s="136">
        <v>1</v>
      </c>
      <c r="M11" s="146">
        <v>7500</v>
      </c>
      <c r="N11" s="136">
        <v>1</v>
      </c>
      <c r="O11" s="146">
        <v>7500</v>
      </c>
      <c r="P11" s="136">
        <v>1</v>
      </c>
      <c r="Q11" s="146">
        <v>7500</v>
      </c>
      <c r="R11" s="136">
        <f t="shared" si="0"/>
        <v>5</v>
      </c>
      <c r="S11" s="150">
        <f t="shared" si="1"/>
        <v>37500</v>
      </c>
      <c r="T11" s="137"/>
      <c r="U11" s="138">
        <f t="shared" si="2"/>
        <v>37500</v>
      </c>
    </row>
    <row r="12" spans="2:21" x14ac:dyDescent="0.8">
      <c r="B12" s="134">
        <v>6</v>
      </c>
      <c r="C12" s="135" t="s">
        <v>425</v>
      </c>
      <c r="D12" s="136">
        <v>1</v>
      </c>
      <c r="E12" s="135">
        <v>8500</v>
      </c>
      <c r="F12" s="136">
        <v>1</v>
      </c>
      <c r="G12" s="146">
        <v>8500</v>
      </c>
      <c r="H12" s="136"/>
      <c r="I12" s="146"/>
      <c r="J12" s="136">
        <v>1</v>
      </c>
      <c r="K12" s="146">
        <v>8500</v>
      </c>
      <c r="L12" s="136">
        <v>1</v>
      </c>
      <c r="M12" s="146">
        <v>8500</v>
      </c>
      <c r="N12" s="136">
        <v>1</v>
      </c>
      <c r="O12" s="146">
        <v>8500</v>
      </c>
      <c r="P12" s="136">
        <v>1</v>
      </c>
      <c r="Q12" s="146">
        <v>8500</v>
      </c>
      <c r="R12" s="136">
        <f t="shared" si="0"/>
        <v>6</v>
      </c>
      <c r="S12" s="150">
        <f t="shared" si="1"/>
        <v>51000</v>
      </c>
      <c r="T12" s="137"/>
      <c r="U12" s="138">
        <f t="shared" si="2"/>
        <v>51000</v>
      </c>
    </row>
    <row r="13" spans="2:21" x14ac:dyDescent="0.8">
      <c r="B13" s="134">
        <v>7</v>
      </c>
      <c r="C13" s="135" t="s">
        <v>426</v>
      </c>
      <c r="D13" s="136">
        <v>1</v>
      </c>
      <c r="E13" s="135">
        <v>7500</v>
      </c>
      <c r="F13" s="136">
        <v>1</v>
      </c>
      <c r="G13" s="146">
        <v>7500</v>
      </c>
      <c r="H13" s="136"/>
      <c r="I13" s="146"/>
      <c r="J13" s="136">
        <v>0</v>
      </c>
      <c r="K13" s="146">
        <v>0</v>
      </c>
      <c r="L13" s="136">
        <v>0</v>
      </c>
      <c r="M13" s="146">
        <v>0</v>
      </c>
      <c r="N13" s="136">
        <v>0</v>
      </c>
      <c r="O13" s="146"/>
      <c r="P13" s="136">
        <v>0</v>
      </c>
      <c r="Q13" s="146">
        <v>0</v>
      </c>
      <c r="R13" s="136">
        <f t="shared" si="0"/>
        <v>2</v>
      </c>
      <c r="S13" s="150">
        <f t="shared" si="1"/>
        <v>15000</v>
      </c>
      <c r="T13" s="137"/>
      <c r="U13" s="138">
        <f t="shared" si="2"/>
        <v>15000</v>
      </c>
    </row>
    <row r="14" spans="2:21" x14ac:dyDescent="0.8">
      <c r="B14" s="134">
        <v>8</v>
      </c>
      <c r="C14" s="135" t="s">
        <v>427</v>
      </c>
      <c r="D14" s="136">
        <v>1</v>
      </c>
      <c r="E14" s="135">
        <v>7500</v>
      </c>
      <c r="F14" s="136">
        <v>1</v>
      </c>
      <c r="G14" s="146">
        <v>7500</v>
      </c>
      <c r="H14" s="136">
        <v>1</v>
      </c>
      <c r="I14" s="146">
        <v>7500</v>
      </c>
      <c r="J14" s="136">
        <v>1</v>
      </c>
      <c r="K14" s="146">
        <v>7500</v>
      </c>
      <c r="L14" s="136">
        <v>1</v>
      </c>
      <c r="M14" s="146">
        <v>7500</v>
      </c>
      <c r="N14" s="136">
        <v>1</v>
      </c>
      <c r="O14" s="146">
        <v>7500</v>
      </c>
      <c r="P14" s="136">
        <v>1</v>
      </c>
      <c r="Q14" s="146">
        <v>7500</v>
      </c>
      <c r="R14" s="136">
        <f t="shared" si="0"/>
        <v>7</v>
      </c>
      <c r="S14" s="150">
        <f t="shared" si="1"/>
        <v>52500</v>
      </c>
      <c r="T14" s="137"/>
      <c r="U14" s="138">
        <f t="shared" si="2"/>
        <v>52500</v>
      </c>
    </row>
    <row r="15" spans="2:21" x14ac:dyDescent="0.8">
      <c r="B15" s="134">
        <v>9</v>
      </c>
      <c r="C15" s="135" t="s">
        <v>443</v>
      </c>
      <c r="D15" s="136">
        <v>0</v>
      </c>
      <c r="E15" s="135">
        <v>0</v>
      </c>
      <c r="F15" s="136">
        <v>1</v>
      </c>
      <c r="G15" s="146">
        <v>7500</v>
      </c>
      <c r="H15" s="136"/>
      <c r="I15" s="146"/>
      <c r="J15" s="136">
        <v>1</v>
      </c>
      <c r="K15" s="146">
        <v>7500</v>
      </c>
      <c r="L15" s="136">
        <v>1</v>
      </c>
      <c r="M15" s="146">
        <v>7500</v>
      </c>
      <c r="N15" s="136">
        <v>1</v>
      </c>
      <c r="O15" s="146">
        <v>7500</v>
      </c>
      <c r="P15" s="136">
        <v>1</v>
      </c>
      <c r="Q15" s="146">
        <v>7500</v>
      </c>
      <c r="R15" s="136">
        <f t="shared" si="0"/>
        <v>5</v>
      </c>
      <c r="S15" s="150">
        <f t="shared" si="1"/>
        <v>37500</v>
      </c>
      <c r="T15" s="137"/>
      <c r="U15" s="138">
        <f t="shared" si="2"/>
        <v>37500</v>
      </c>
    </row>
    <row r="16" spans="2:21" x14ac:dyDescent="0.8">
      <c r="B16" s="134">
        <v>10</v>
      </c>
      <c r="C16" s="135"/>
      <c r="D16" s="136"/>
      <c r="E16" s="135"/>
      <c r="F16" s="136"/>
      <c r="G16" s="146"/>
      <c r="H16" s="136"/>
      <c r="I16" s="146"/>
      <c r="J16" s="136"/>
      <c r="K16" s="146"/>
      <c r="L16" s="136"/>
      <c r="M16" s="146"/>
      <c r="N16" s="136"/>
      <c r="O16" s="146"/>
      <c r="P16" s="136"/>
      <c r="Q16" s="146"/>
      <c r="R16" s="136">
        <f t="shared" si="0"/>
        <v>0</v>
      </c>
      <c r="S16" s="150">
        <f t="shared" si="1"/>
        <v>0</v>
      </c>
      <c r="T16" s="137"/>
      <c r="U16" s="138">
        <f t="shared" si="2"/>
        <v>0</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ht="25.2" thickBot="1" x14ac:dyDescent="0.85">
      <c r="B29" s="134">
        <v>23</v>
      </c>
      <c r="C29" s="135"/>
      <c r="D29" s="136"/>
      <c r="E29" s="135"/>
      <c r="F29" s="136"/>
      <c r="G29" s="146"/>
      <c r="H29" s="136"/>
      <c r="I29" s="146"/>
      <c r="J29" s="136"/>
      <c r="K29" s="146"/>
      <c r="L29" s="136"/>
      <c r="M29" s="146"/>
      <c r="N29" s="136"/>
      <c r="O29" s="146"/>
      <c r="P29" s="136"/>
      <c r="Q29" s="146"/>
      <c r="R29" s="136">
        <f t="shared" si="0"/>
        <v>0</v>
      </c>
      <c r="S29" s="150">
        <f>+SUM(E29,G29,I29,K29,M29,O29,Q29)</f>
        <v>0</v>
      </c>
      <c r="T29" s="137"/>
      <c r="U29" s="138">
        <f t="shared" si="2"/>
        <v>0</v>
      </c>
    </row>
    <row r="30" spans="2:21" ht="25.8" thickTop="1" thickBot="1" x14ac:dyDescent="0.9">
      <c r="B30" s="139" t="s">
        <v>360</v>
      </c>
      <c r="C30" s="140"/>
      <c r="D30" s="141">
        <f>SUM(D7:D29)</f>
        <v>7</v>
      </c>
      <c r="E30" s="142">
        <f t="shared" ref="E30:Q30" si="3">SUM(E7:E29)</f>
        <v>55500</v>
      </c>
      <c r="F30" s="141">
        <f t="shared" si="3"/>
        <v>8</v>
      </c>
      <c r="G30" s="147">
        <f t="shared" si="3"/>
        <v>62000</v>
      </c>
      <c r="H30" s="141">
        <f t="shared" si="3"/>
        <v>3</v>
      </c>
      <c r="I30" s="147">
        <f>SUM(I7:I29)</f>
        <v>24500</v>
      </c>
      <c r="J30" s="141">
        <f t="shared" si="3"/>
        <v>8</v>
      </c>
      <c r="K30" s="147">
        <f t="shared" si="3"/>
        <v>63000</v>
      </c>
      <c r="L30" s="141">
        <f t="shared" si="3"/>
        <v>7</v>
      </c>
      <c r="M30" s="147">
        <f t="shared" si="3"/>
        <v>55500</v>
      </c>
      <c r="N30" s="141">
        <f t="shared" si="3"/>
        <v>7</v>
      </c>
      <c r="O30" s="147">
        <f t="shared" si="3"/>
        <v>55500</v>
      </c>
      <c r="P30" s="141">
        <f t="shared" si="3"/>
        <v>7</v>
      </c>
      <c r="Q30" s="147">
        <f t="shared" si="3"/>
        <v>55500</v>
      </c>
      <c r="R30" s="141">
        <f>+SUM(P30,N30,L30,J30,H30,F30,D30)</f>
        <v>47</v>
      </c>
      <c r="S30" s="151">
        <f>+SUM(E30,G30,I30,K30,M30,O30,Q30)</f>
        <v>371500</v>
      </c>
      <c r="T30" s="143">
        <f>SUBTOTAL(109,MACONS!$T$7:$T$30)</f>
        <v>0</v>
      </c>
      <c r="U30" s="144">
        <f>SUBTOTAL(109,MACONS!$U$7:$U$30)</f>
        <v>197500</v>
      </c>
    </row>
    <row r="32" spans="2:21" x14ac:dyDescent="0.8">
      <c r="P32" s="96" t="s">
        <v>361</v>
      </c>
      <c r="R32" s="125">
        <f>+MACONS!$R$31-SUM('SUIVI HEBDOMADAIRE PAIE'!D7,'SUIVI HEBDOMADAIRE PAIE'!F7,'SUIVI HEBDOMADAIRE PAIE'!H7,'SUIVI HEBDOMADAIRE PAIE'!J7,'SUIVI HEBDOMADAIRE PAIE'!L7,'SUIVI HEBDOMADAIRE PAIE'!N7,'SUIVI HEBDOMADAIRE PAIE'!P7)</f>
        <v>0</v>
      </c>
      <c r="S32"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2:U33"/>
  <sheetViews>
    <sheetView showGridLines="0" topLeftCell="A2" zoomScale="60" zoomScaleNormal="60" workbookViewId="0">
      <pane xSplit="3" ySplit="5" topLeftCell="M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451</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437</v>
      </c>
      <c r="D7" s="136">
        <v>1</v>
      </c>
      <c r="E7" s="135">
        <v>8500</v>
      </c>
      <c r="F7" s="136">
        <v>0</v>
      </c>
      <c r="G7" s="146">
        <v>0</v>
      </c>
      <c r="H7" s="136"/>
      <c r="I7" s="146"/>
      <c r="J7" s="136">
        <v>0</v>
      </c>
      <c r="K7" s="146">
        <v>0</v>
      </c>
      <c r="L7" s="136">
        <v>0</v>
      </c>
      <c r="M7" s="146">
        <v>0</v>
      </c>
      <c r="N7" s="136">
        <v>0</v>
      </c>
      <c r="O7" s="146">
        <v>0</v>
      </c>
      <c r="P7" s="136">
        <v>0</v>
      </c>
      <c r="Q7" s="146">
        <v>0</v>
      </c>
      <c r="R7" s="136">
        <f>+SUM(P7,N7,L7,J7,H7,F7,D7)</f>
        <v>1</v>
      </c>
      <c r="S7" s="146">
        <f>+SUM(E7,G7,I7,K7,M7,O7,Q7)</f>
        <v>8500</v>
      </c>
      <c r="T7" s="137"/>
      <c r="U7" s="138">
        <f>+S7-T7</f>
        <v>8500</v>
      </c>
    </row>
    <row r="8" spans="2:21" x14ac:dyDescent="0.8">
      <c r="B8" s="134">
        <v>2</v>
      </c>
      <c r="C8" s="135" t="s">
        <v>438</v>
      </c>
      <c r="D8" s="136">
        <v>1</v>
      </c>
      <c r="E8" s="135">
        <v>7500</v>
      </c>
      <c r="F8" s="136">
        <v>1</v>
      </c>
      <c r="G8" s="146">
        <v>7500</v>
      </c>
      <c r="H8" s="136"/>
      <c r="I8" s="146"/>
      <c r="J8" s="136">
        <v>0</v>
      </c>
      <c r="K8" s="146">
        <v>0</v>
      </c>
      <c r="L8" s="136">
        <v>0</v>
      </c>
      <c r="M8" s="146">
        <v>0</v>
      </c>
      <c r="N8" s="136">
        <v>0</v>
      </c>
      <c r="O8" s="146">
        <v>0</v>
      </c>
      <c r="P8" s="136">
        <v>0</v>
      </c>
      <c r="Q8" s="146">
        <v>0</v>
      </c>
      <c r="R8" s="136">
        <f t="shared" ref="R8:R30" si="0">+SUM(P8,N8,L8,J8,H8,F8,D8)</f>
        <v>2</v>
      </c>
      <c r="S8" s="150">
        <f t="shared" ref="S8:S29" si="1">+SUM(E8,G8,I8,K8,M8,O8,Q8)</f>
        <v>15000</v>
      </c>
      <c r="T8" s="137"/>
      <c r="U8" s="138">
        <f t="shared" ref="U8:U30" si="2">+S8-T8</f>
        <v>15000</v>
      </c>
    </row>
    <row r="9" spans="2:21" x14ac:dyDescent="0.8">
      <c r="B9" s="134">
        <v>3</v>
      </c>
      <c r="C9" s="135" t="s">
        <v>439</v>
      </c>
      <c r="D9" s="136">
        <v>1</v>
      </c>
      <c r="E9" s="135">
        <v>7500</v>
      </c>
      <c r="F9" s="136">
        <v>1</v>
      </c>
      <c r="G9" s="146">
        <v>7500</v>
      </c>
      <c r="H9" s="136"/>
      <c r="I9" s="146"/>
      <c r="J9" s="136">
        <v>0</v>
      </c>
      <c r="K9" s="146">
        <v>0</v>
      </c>
      <c r="L9" s="136">
        <v>0</v>
      </c>
      <c r="M9" s="146">
        <v>0</v>
      </c>
      <c r="N9" s="136">
        <v>0</v>
      </c>
      <c r="O9" s="146">
        <v>0</v>
      </c>
      <c r="P9" s="136">
        <v>0</v>
      </c>
      <c r="Q9" s="146">
        <v>0</v>
      </c>
      <c r="R9" s="136">
        <f t="shared" si="0"/>
        <v>2</v>
      </c>
      <c r="S9" s="150">
        <f t="shared" si="1"/>
        <v>15000</v>
      </c>
      <c r="T9" s="137"/>
      <c r="U9" s="138">
        <f t="shared" si="2"/>
        <v>15000</v>
      </c>
    </row>
    <row r="10" spans="2:21" x14ac:dyDescent="0.8">
      <c r="B10" s="134">
        <v>4</v>
      </c>
      <c r="C10" s="135" t="s">
        <v>440</v>
      </c>
      <c r="D10" s="136">
        <v>1</v>
      </c>
      <c r="E10" s="135">
        <v>7500</v>
      </c>
      <c r="F10" s="136">
        <v>1</v>
      </c>
      <c r="G10" s="146">
        <v>7500</v>
      </c>
      <c r="H10" s="136"/>
      <c r="I10" s="146"/>
      <c r="J10" s="136">
        <v>0</v>
      </c>
      <c r="K10" s="146">
        <v>0</v>
      </c>
      <c r="L10" s="136">
        <v>0</v>
      </c>
      <c r="M10" s="146">
        <v>0</v>
      </c>
      <c r="N10" s="136">
        <v>0</v>
      </c>
      <c r="O10" s="146">
        <v>0</v>
      </c>
      <c r="P10" s="136">
        <v>0</v>
      </c>
      <c r="Q10" s="146">
        <v>0</v>
      </c>
      <c r="R10" s="136">
        <f t="shared" si="0"/>
        <v>2</v>
      </c>
      <c r="S10" s="150">
        <f t="shared" si="1"/>
        <v>15000</v>
      </c>
      <c r="T10" s="137"/>
      <c r="U10" s="138">
        <f t="shared" si="2"/>
        <v>15000</v>
      </c>
    </row>
    <row r="11" spans="2:21" x14ac:dyDescent="0.8">
      <c r="B11" s="134">
        <v>5</v>
      </c>
      <c r="C11" s="135"/>
      <c r="D11" s="136"/>
      <c r="E11" s="135"/>
      <c r="F11" s="136"/>
      <c r="G11" s="146"/>
      <c r="H11" s="136"/>
      <c r="I11" s="146"/>
      <c r="J11" s="136"/>
      <c r="K11" s="146"/>
      <c r="L11" s="136"/>
      <c r="M11" s="146"/>
      <c r="N11" s="136"/>
      <c r="O11" s="146"/>
      <c r="P11" s="136"/>
      <c r="Q11" s="146"/>
      <c r="R11" s="136">
        <f t="shared" si="0"/>
        <v>0</v>
      </c>
      <c r="S11" s="150">
        <f t="shared" si="1"/>
        <v>0</v>
      </c>
      <c r="T11" s="137"/>
      <c r="U11" s="138">
        <f t="shared" si="2"/>
        <v>0</v>
      </c>
    </row>
    <row r="12" spans="2:21" x14ac:dyDescent="0.8">
      <c r="B12" s="134">
        <v>6</v>
      </c>
      <c r="C12" s="135"/>
      <c r="D12" s="136"/>
      <c r="E12" s="135"/>
      <c r="F12" s="136"/>
      <c r="G12" s="146"/>
      <c r="H12" s="136"/>
      <c r="I12" s="146"/>
      <c r="J12" s="136"/>
      <c r="K12" s="146"/>
      <c r="L12" s="136"/>
      <c r="M12" s="146"/>
      <c r="N12" s="136"/>
      <c r="O12" s="146"/>
      <c r="P12" s="136"/>
      <c r="Q12" s="146"/>
      <c r="R12" s="136">
        <f t="shared" si="0"/>
        <v>0</v>
      </c>
      <c r="S12" s="150">
        <f t="shared" si="1"/>
        <v>0</v>
      </c>
      <c r="T12" s="137"/>
      <c r="U12" s="138">
        <f t="shared" si="2"/>
        <v>0</v>
      </c>
    </row>
    <row r="13" spans="2:21" x14ac:dyDescent="0.8">
      <c r="B13" s="134">
        <v>7</v>
      </c>
      <c r="C13" s="135"/>
      <c r="D13" s="136"/>
      <c r="E13" s="135"/>
      <c r="F13" s="136"/>
      <c r="G13" s="146"/>
      <c r="H13" s="136"/>
      <c r="I13" s="146"/>
      <c r="J13" s="136"/>
      <c r="K13" s="146"/>
      <c r="L13" s="136"/>
      <c r="M13" s="146"/>
      <c r="N13" s="136"/>
      <c r="O13" s="146"/>
      <c r="P13" s="136"/>
      <c r="Q13" s="146"/>
      <c r="R13" s="136">
        <f t="shared" si="0"/>
        <v>0</v>
      </c>
      <c r="S13" s="150">
        <f t="shared" si="1"/>
        <v>0</v>
      </c>
      <c r="T13" s="137"/>
      <c r="U13" s="138">
        <f t="shared" si="2"/>
        <v>0</v>
      </c>
    </row>
    <row r="14" spans="2:21" x14ac:dyDescent="0.8">
      <c r="B14" s="134">
        <v>8</v>
      </c>
      <c r="C14" s="135"/>
      <c r="D14" s="136"/>
      <c r="E14" s="135"/>
      <c r="F14" s="136"/>
      <c r="G14" s="146"/>
      <c r="H14" s="136"/>
      <c r="I14" s="146"/>
      <c r="J14" s="136"/>
      <c r="K14" s="146"/>
      <c r="L14" s="136"/>
      <c r="M14" s="146"/>
      <c r="N14" s="136"/>
      <c r="O14" s="146"/>
      <c r="P14" s="136"/>
      <c r="Q14" s="146"/>
      <c r="R14" s="136">
        <f t="shared" si="0"/>
        <v>0</v>
      </c>
      <c r="S14" s="150">
        <f t="shared" si="1"/>
        <v>0</v>
      </c>
      <c r="T14" s="137"/>
      <c r="U14" s="138">
        <f t="shared" si="2"/>
        <v>0</v>
      </c>
    </row>
    <row r="15" spans="2:21" x14ac:dyDescent="0.8">
      <c r="B15" s="134">
        <v>9</v>
      </c>
      <c r="C15" s="135"/>
      <c r="D15" s="136"/>
      <c r="E15" s="135"/>
      <c r="F15" s="136"/>
      <c r="G15" s="146"/>
      <c r="H15" s="136"/>
      <c r="I15" s="146"/>
      <c r="J15" s="136"/>
      <c r="K15" s="146"/>
      <c r="L15" s="136"/>
      <c r="M15" s="146"/>
      <c r="N15" s="136"/>
      <c r="O15" s="146"/>
      <c r="P15" s="136"/>
      <c r="Q15" s="146"/>
      <c r="R15" s="136">
        <f t="shared" si="0"/>
        <v>0</v>
      </c>
      <c r="S15" s="150">
        <f t="shared" si="1"/>
        <v>0</v>
      </c>
      <c r="T15" s="137"/>
      <c r="U15" s="138">
        <f t="shared" si="2"/>
        <v>0</v>
      </c>
    </row>
    <row r="16" spans="2:21" x14ac:dyDescent="0.8">
      <c r="B16" s="134">
        <v>10</v>
      </c>
      <c r="C16" s="135"/>
      <c r="D16" s="136"/>
      <c r="E16" s="135"/>
      <c r="F16" s="136"/>
      <c r="G16" s="146"/>
      <c r="H16" s="136"/>
      <c r="I16" s="146"/>
      <c r="J16" s="136"/>
      <c r="K16" s="146"/>
      <c r="L16" s="136"/>
      <c r="M16" s="146"/>
      <c r="N16" s="136"/>
      <c r="O16" s="146"/>
      <c r="P16" s="136"/>
      <c r="Q16" s="146"/>
      <c r="R16" s="136">
        <f t="shared" si="0"/>
        <v>0</v>
      </c>
      <c r="S16" s="150">
        <f t="shared" si="1"/>
        <v>0</v>
      </c>
      <c r="T16" s="137"/>
      <c r="U16" s="138">
        <f t="shared" si="2"/>
        <v>0</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0"/>
        <v>0</v>
      </c>
      <c r="S29" s="150">
        <f t="shared" si="1"/>
        <v>0</v>
      </c>
      <c r="T29" s="137"/>
      <c r="U29" s="138">
        <f t="shared" si="2"/>
        <v>0</v>
      </c>
    </row>
    <row r="30" spans="2:21" ht="25.2" thickBot="1" x14ac:dyDescent="0.85">
      <c r="B30" s="134">
        <v>24</v>
      </c>
      <c r="C30" s="135"/>
      <c r="D30" s="136"/>
      <c r="E30" s="135"/>
      <c r="F30" s="136"/>
      <c r="G30" s="146"/>
      <c r="H30" s="136"/>
      <c r="I30" s="146"/>
      <c r="J30" s="136"/>
      <c r="K30" s="146"/>
      <c r="L30" s="136"/>
      <c r="M30" s="146"/>
      <c r="N30" s="136"/>
      <c r="O30" s="146"/>
      <c r="P30" s="136"/>
      <c r="Q30" s="146"/>
      <c r="R30" s="136">
        <f t="shared" si="0"/>
        <v>0</v>
      </c>
      <c r="S30" s="150">
        <f>+SUM(E30,G30,I30,K30,M30,O30,Q30)</f>
        <v>0</v>
      </c>
      <c r="T30" s="137"/>
      <c r="U30" s="138">
        <f t="shared" si="2"/>
        <v>0</v>
      </c>
    </row>
    <row r="31" spans="2:21" ht="25.8" thickTop="1" thickBot="1" x14ac:dyDescent="0.9">
      <c r="B31" s="139" t="s">
        <v>360</v>
      </c>
      <c r="C31" s="140"/>
      <c r="D31" s="141">
        <f>SUM(D7:D30)</f>
        <v>4</v>
      </c>
      <c r="E31" s="142">
        <f t="shared" ref="E31:Q31" si="3">SUM(E7:E30)</f>
        <v>31000</v>
      </c>
      <c r="F31" s="141">
        <f t="shared" si="3"/>
        <v>3</v>
      </c>
      <c r="G31" s="147">
        <f t="shared" si="3"/>
        <v>22500</v>
      </c>
      <c r="H31" s="141">
        <f t="shared" si="3"/>
        <v>0</v>
      </c>
      <c r="I31" s="147">
        <f t="shared" si="3"/>
        <v>0</v>
      </c>
      <c r="J31" s="141">
        <f t="shared" si="3"/>
        <v>0</v>
      </c>
      <c r="K31" s="147">
        <f t="shared" si="3"/>
        <v>0</v>
      </c>
      <c r="L31" s="141">
        <f t="shared" si="3"/>
        <v>0</v>
      </c>
      <c r="M31" s="147">
        <f t="shared" si="3"/>
        <v>0</v>
      </c>
      <c r="N31" s="141">
        <f t="shared" si="3"/>
        <v>0</v>
      </c>
      <c r="O31" s="147">
        <f t="shared" si="3"/>
        <v>0</v>
      </c>
      <c r="P31" s="141">
        <f t="shared" si="3"/>
        <v>0</v>
      </c>
      <c r="Q31" s="147">
        <f t="shared" si="3"/>
        <v>0</v>
      </c>
      <c r="R31" s="141">
        <f>+SUM(P31,N31,L31,J31,H31,F31,D31)</f>
        <v>7</v>
      </c>
      <c r="S31" s="151">
        <f>+SUM(E31,G31,I31,K31,M31,O31,Q31)</f>
        <v>53500</v>
      </c>
      <c r="T31" s="143">
        <f>SUBTOTAL(109,MACONS!$T$7:$T$30)</f>
        <v>0</v>
      </c>
      <c r="U31" s="144">
        <f>SUBTOTAL(109,MACONS!$U$7:$U$30)</f>
        <v>197500</v>
      </c>
    </row>
    <row r="33" spans="16:19" x14ac:dyDescent="0.8">
      <c r="P33" s="96" t="s">
        <v>361</v>
      </c>
      <c r="R33" s="125">
        <f>+MACONS!$R$31-SUM('SUIVI HEBDOMADAIRE PAIE'!D7,'SUIVI HEBDOMADAIRE PAIE'!F7,'SUIVI HEBDOMADAIRE PAIE'!H7,'SUIVI HEBDOMADAIRE PAIE'!J7,'SUIVI HEBDOMADAIRE PAIE'!L7,'SUIVI HEBDOMADAIRE PAIE'!N7,'SUIVI HEBDOMADAIRE PAIE'!P7)</f>
        <v>0</v>
      </c>
      <c r="S33"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2:U33"/>
  <sheetViews>
    <sheetView showGridLines="0" topLeftCell="A2" zoomScale="60" zoomScaleNormal="60" workbookViewId="0">
      <pane xSplit="3" ySplit="5" topLeftCell="L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452</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c r="D7" s="136"/>
      <c r="E7" s="135"/>
      <c r="F7" s="136"/>
      <c r="G7" s="146"/>
      <c r="H7" s="136"/>
      <c r="I7" s="146"/>
      <c r="J7" s="136"/>
      <c r="K7" s="146"/>
      <c r="L7" s="136"/>
      <c r="M7" s="146"/>
      <c r="N7" s="136"/>
      <c r="O7" s="146"/>
      <c r="P7" s="136"/>
      <c r="Q7" s="146"/>
      <c r="R7" s="136">
        <f>+SUM(P7,N7,L7,J7,H7,F7,D7)</f>
        <v>0</v>
      </c>
      <c r="S7" s="146">
        <f>+SUM(E7,G7,I7,K7,M7,O7,Q7)</f>
        <v>0</v>
      </c>
      <c r="T7" s="137"/>
      <c r="U7" s="138">
        <f>+S7-T7</f>
        <v>0</v>
      </c>
    </row>
    <row r="8" spans="2:21" x14ac:dyDescent="0.8">
      <c r="B8" s="134">
        <v>2</v>
      </c>
      <c r="C8" s="135"/>
      <c r="D8" s="136"/>
      <c r="E8" s="135"/>
      <c r="F8" s="136"/>
      <c r="G8" s="146"/>
      <c r="H8" s="136"/>
      <c r="I8" s="146"/>
      <c r="J8" s="136"/>
      <c r="K8" s="146"/>
      <c r="L8" s="136"/>
      <c r="M8" s="146"/>
      <c r="N8" s="136"/>
      <c r="O8" s="146"/>
      <c r="P8" s="136"/>
      <c r="Q8" s="146"/>
      <c r="R8" s="136">
        <f t="shared" ref="R8:R30" si="0">+SUM(P8,N8,L8,J8,H8,F8,D8)</f>
        <v>0</v>
      </c>
      <c r="S8" s="150">
        <f t="shared" ref="S8:S29" si="1">+SUM(E8,G8,I8,K8,M8,O8,Q8)</f>
        <v>0</v>
      </c>
      <c r="T8" s="137"/>
      <c r="U8" s="138">
        <f t="shared" ref="U8:U30" si="2">+S8-T8</f>
        <v>0</v>
      </c>
    </row>
    <row r="9" spans="2:21" x14ac:dyDescent="0.8">
      <c r="B9" s="134">
        <v>3</v>
      </c>
      <c r="C9" s="135"/>
      <c r="D9" s="136"/>
      <c r="E9" s="135"/>
      <c r="F9" s="136"/>
      <c r="G9" s="146"/>
      <c r="H9" s="136"/>
      <c r="I9" s="146"/>
      <c r="J9" s="136"/>
      <c r="K9" s="146"/>
      <c r="L9" s="136"/>
      <c r="M9" s="146"/>
      <c r="N9" s="136"/>
      <c r="O9" s="146"/>
      <c r="P9" s="136"/>
      <c r="Q9" s="146"/>
      <c r="R9" s="136">
        <f t="shared" si="0"/>
        <v>0</v>
      </c>
      <c r="S9" s="150">
        <f t="shared" si="1"/>
        <v>0</v>
      </c>
      <c r="T9" s="137"/>
      <c r="U9" s="138">
        <f t="shared" si="2"/>
        <v>0</v>
      </c>
    </row>
    <row r="10" spans="2:21" x14ac:dyDescent="0.8">
      <c r="B10" s="134">
        <v>4</v>
      </c>
      <c r="C10" s="135"/>
      <c r="D10" s="136"/>
      <c r="E10" s="135"/>
      <c r="F10" s="136"/>
      <c r="G10" s="146"/>
      <c r="H10" s="136"/>
      <c r="I10" s="146"/>
      <c r="J10" s="136"/>
      <c r="K10" s="146"/>
      <c r="L10" s="136"/>
      <c r="M10" s="146"/>
      <c r="N10" s="136"/>
      <c r="O10" s="146"/>
      <c r="P10" s="136"/>
      <c r="Q10" s="146"/>
      <c r="R10" s="136">
        <f t="shared" si="0"/>
        <v>0</v>
      </c>
      <c r="S10" s="150">
        <f t="shared" si="1"/>
        <v>0</v>
      </c>
      <c r="T10" s="137"/>
      <c r="U10" s="138">
        <f t="shared" si="2"/>
        <v>0</v>
      </c>
    </row>
    <row r="11" spans="2:21" x14ac:dyDescent="0.8">
      <c r="B11" s="134">
        <v>5</v>
      </c>
      <c r="C11" s="135"/>
      <c r="D11" s="136"/>
      <c r="E11" s="135"/>
      <c r="F11" s="136"/>
      <c r="G11" s="146"/>
      <c r="H11" s="136"/>
      <c r="I11" s="146"/>
      <c r="J11" s="136"/>
      <c r="K11" s="146"/>
      <c r="L11" s="136"/>
      <c r="M11" s="146"/>
      <c r="N11" s="136"/>
      <c r="O11" s="146"/>
      <c r="P11" s="136"/>
      <c r="Q11" s="146"/>
      <c r="R11" s="136">
        <f t="shared" si="0"/>
        <v>0</v>
      </c>
      <c r="S11" s="150">
        <f t="shared" si="1"/>
        <v>0</v>
      </c>
      <c r="T11" s="137"/>
      <c r="U11" s="138">
        <f t="shared" si="2"/>
        <v>0</v>
      </c>
    </row>
    <row r="12" spans="2:21" x14ac:dyDescent="0.8">
      <c r="B12" s="134">
        <v>6</v>
      </c>
      <c r="C12" s="135"/>
      <c r="D12" s="136"/>
      <c r="E12" s="135"/>
      <c r="F12" s="136"/>
      <c r="G12" s="146"/>
      <c r="H12" s="136"/>
      <c r="I12" s="146"/>
      <c r="J12" s="136"/>
      <c r="K12" s="146"/>
      <c r="L12" s="136"/>
      <c r="M12" s="146"/>
      <c r="N12" s="136"/>
      <c r="O12" s="146"/>
      <c r="P12" s="136"/>
      <c r="Q12" s="146"/>
      <c r="R12" s="136">
        <f t="shared" si="0"/>
        <v>0</v>
      </c>
      <c r="S12" s="150">
        <f t="shared" si="1"/>
        <v>0</v>
      </c>
      <c r="T12" s="137"/>
      <c r="U12" s="138">
        <f t="shared" si="2"/>
        <v>0</v>
      </c>
    </row>
    <row r="13" spans="2:21" x14ac:dyDescent="0.8">
      <c r="B13" s="134">
        <v>7</v>
      </c>
      <c r="C13" s="135"/>
      <c r="D13" s="136"/>
      <c r="E13" s="135"/>
      <c r="F13" s="136"/>
      <c r="G13" s="146"/>
      <c r="H13" s="136"/>
      <c r="I13" s="146"/>
      <c r="J13" s="136"/>
      <c r="K13" s="146"/>
      <c r="L13" s="136"/>
      <c r="M13" s="146"/>
      <c r="N13" s="136"/>
      <c r="O13" s="146"/>
      <c r="P13" s="136"/>
      <c r="Q13" s="146"/>
      <c r="R13" s="136">
        <f t="shared" si="0"/>
        <v>0</v>
      </c>
      <c r="S13" s="150">
        <f t="shared" si="1"/>
        <v>0</v>
      </c>
      <c r="T13" s="137"/>
      <c r="U13" s="138">
        <f t="shared" si="2"/>
        <v>0</v>
      </c>
    </row>
    <row r="14" spans="2:21" x14ac:dyDescent="0.8">
      <c r="B14" s="134">
        <v>8</v>
      </c>
      <c r="C14" s="135"/>
      <c r="D14" s="136"/>
      <c r="E14" s="135"/>
      <c r="F14" s="136"/>
      <c r="G14" s="146"/>
      <c r="H14" s="136"/>
      <c r="I14" s="146"/>
      <c r="J14" s="136"/>
      <c r="K14" s="146"/>
      <c r="L14" s="136"/>
      <c r="M14" s="146"/>
      <c r="N14" s="136"/>
      <c r="O14" s="146"/>
      <c r="P14" s="136"/>
      <c r="Q14" s="146"/>
      <c r="R14" s="136">
        <f t="shared" si="0"/>
        <v>0</v>
      </c>
      <c r="S14" s="150">
        <f t="shared" si="1"/>
        <v>0</v>
      </c>
      <c r="T14" s="137"/>
      <c r="U14" s="138">
        <f t="shared" si="2"/>
        <v>0</v>
      </c>
    </row>
    <row r="15" spans="2:21" x14ac:dyDescent="0.8">
      <c r="B15" s="134">
        <v>9</v>
      </c>
      <c r="C15" s="135"/>
      <c r="D15" s="136"/>
      <c r="E15" s="135"/>
      <c r="F15" s="136"/>
      <c r="G15" s="146"/>
      <c r="H15" s="136"/>
      <c r="I15" s="146"/>
      <c r="J15" s="136"/>
      <c r="K15" s="146"/>
      <c r="L15" s="136"/>
      <c r="M15" s="146"/>
      <c r="N15" s="136"/>
      <c r="O15" s="146"/>
      <c r="P15" s="136"/>
      <c r="Q15" s="146"/>
      <c r="R15" s="136">
        <f t="shared" si="0"/>
        <v>0</v>
      </c>
      <c r="S15" s="150">
        <f t="shared" si="1"/>
        <v>0</v>
      </c>
      <c r="T15" s="137"/>
      <c r="U15" s="138">
        <f t="shared" si="2"/>
        <v>0</v>
      </c>
    </row>
    <row r="16" spans="2:21" x14ac:dyDescent="0.8">
      <c r="B16" s="134">
        <v>10</v>
      </c>
      <c r="C16" s="135"/>
      <c r="D16" s="136"/>
      <c r="E16" s="135"/>
      <c r="F16" s="136"/>
      <c r="G16" s="146"/>
      <c r="H16" s="136"/>
      <c r="I16" s="146"/>
      <c r="J16" s="136"/>
      <c r="K16" s="146"/>
      <c r="L16" s="136"/>
      <c r="M16" s="146"/>
      <c r="N16" s="136"/>
      <c r="O16" s="146"/>
      <c r="P16" s="136"/>
      <c r="Q16" s="146"/>
      <c r="R16" s="136">
        <f t="shared" si="0"/>
        <v>0</v>
      </c>
      <c r="S16" s="150">
        <f t="shared" si="1"/>
        <v>0</v>
      </c>
      <c r="T16" s="137"/>
      <c r="U16" s="138">
        <f t="shared" si="2"/>
        <v>0</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0"/>
        <v>0</v>
      </c>
      <c r="S29" s="150">
        <f t="shared" si="1"/>
        <v>0</v>
      </c>
      <c r="T29" s="137"/>
      <c r="U29" s="138">
        <f t="shared" si="2"/>
        <v>0</v>
      </c>
    </row>
    <row r="30" spans="2:21" ht="25.2" thickBot="1" x14ac:dyDescent="0.85">
      <c r="B30" s="134">
        <v>24</v>
      </c>
      <c r="C30" s="135"/>
      <c r="D30" s="136"/>
      <c r="E30" s="135"/>
      <c r="F30" s="136"/>
      <c r="G30" s="146"/>
      <c r="H30" s="136"/>
      <c r="I30" s="146"/>
      <c r="J30" s="136"/>
      <c r="K30" s="146"/>
      <c r="L30" s="136"/>
      <c r="M30" s="146"/>
      <c r="N30" s="136"/>
      <c r="O30" s="146"/>
      <c r="P30" s="136"/>
      <c r="Q30" s="146"/>
      <c r="R30" s="136">
        <f t="shared" si="0"/>
        <v>0</v>
      </c>
      <c r="S30" s="150">
        <f>+SUM(E30,G30,I30,K30,M30,O30,Q30)</f>
        <v>0</v>
      </c>
      <c r="T30" s="137"/>
      <c r="U30" s="138">
        <f t="shared" si="2"/>
        <v>0</v>
      </c>
    </row>
    <row r="31" spans="2:21" ht="25.8" thickTop="1" thickBot="1" x14ac:dyDescent="0.9">
      <c r="B31" s="139" t="s">
        <v>360</v>
      </c>
      <c r="C31" s="140"/>
      <c r="D31" s="141">
        <f>SUM(D7:D30)</f>
        <v>0</v>
      </c>
      <c r="E31" s="142">
        <f t="shared" ref="E31:Q31" si="3">SUM(E7:E30)</f>
        <v>0</v>
      </c>
      <c r="F31" s="141">
        <f t="shared" si="3"/>
        <v>0</v>
      </c>
      <c r="G31" s="147">
        <f t="shared" si="3"/>
        <v>0</v>
      </c>
      <c r="H31" s="141">
        <f t="shared" si="3"/>
        <v>0</v>
      </c>
      <c r="I31" s="147">
        <f t="shared" si="3"/>
        <v>0</v>
      </c>
      <c r="J31" s="141">
        <f t="shared" si="3"/>
        <v>0</v>
      </c>
      <c r="K31" s="147">
        <f t="shared" si="3"/>
        <v>0</v>
      </c>
      <c r="L31" s="141">
        <f t="shared" si="3"/>
        <v>0</v>
      </c>
      <c r="M31" s="147">
        <f t="shared" si="3"/>
        <v>0</v>
      </c>
      <c r="N31" s="141">
        <f t="shared" si="3"/>
        <v>0</v>
      </c>
      <c r="O31" s="147">
        <f t="shared" si="3"/>
        <v>0</v>
      </c>
      <c r="P31" s="141">
        <f t="shared" si="3"/>
        <v>0</v>
      </c>
      <c r="Q31" s="147">
        <f t="shared" si="3"/>
        <v>0</v>
      </c>
      <c r="R31" s="141">
        <f>+SUM(P31,N31,L31,J31,H31,F31,D31)</f>
        <v>0</v>
      </c>
      <c r="S31" s="151">
        <f>+SUM(E31,G31,I31,K31,M31,O31,Q31)</f>
        <v>0</v>
      </c>
      <c r="T31" s="143">
        <f>SUBTOTAL(109,MACONS!$T$7:$T$30)</f>
        <v>0</v>
      </c>
      <c r="U31" s="144">
        <f>SUBTOTAL(109,MACONS!$U$7:$U$30)</f>
        <v>197500</v>
      </c>
    </row>
    <row r="33" spans="16:19" x14ac:dyDescent="0.8">
      <c r="P33" s="96" t="s">
        <v>361</v>
      </c>
      <c r="R33" s="125">
        <f>+MACONS!$R$31-SUM('SUIVI HEBDOMADAIRE PAIE'!D7,'SUIVI HEBDOMADAIRE PAIE'!F7,'SUIVI HEBDOMADAIRE PAIE'!H7,'SUIVI HEBDOMADAIRE PAIE'!J7,'SUIVI HEBDOMADAIRE PAIE'!L7,'SUIVI HEBDOMADAIRE PAIE'!N7,'SUIVI HEBDOMADAIRE PAIE'!P7)</f>
        <v>0</v>
      </c>
      <c r="S33"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2:U33"/>
  <sheetViews>
    <sheetView showGridLines="0" topLeftCell="A2" zoomScale="50" zoomScaleNormal="50" workbookViewId="0">
      <pane xSplit="3" ySplit="5" topLeftCell="L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453</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441</v>
      </c>
      <c r="D7" s="136">
        <v>1</v>
      </c>
      <c r="E7" s="135">
        <v>7500</v>
      </c>
      <c r="F7" s="136">
        <v>1</v>
      </c>
      <c r="G7" s="146">
        <v>7500</v>
      </c>
      <c r="H7" s="136"/>
      <c r="I7" s="146"/>
      <c r="J7" s="136">
        <v>1</v>
      </c>
      <c r="K7" s="146">
        <v>7500</v>
      </c>
      <c r="L7" s="136">
        <v>1</v>
      </c>
      <c r="M7" s="146">
        <v>7500</v>
      </c>
      <c r="N7" s="136">
        <v>1</v>
      </c>
      <c r="O7" s="146">
        <v>7500</v>
      </c>
      <c r="P7" s="136">
        <v>1</v>
      </c>
      <c r="Q7" s="146">
        <v>7500</v>
      </c>
      <c r="R7" s="136">
        <f>+SUM(P7,N7,L7,J7,H7,F7,D7)</f>
        <v>6</v>
      </c>
      <c r="S7" s="146">
        <f>+SUM(E7,G7,I7,K7,M7,O7,Q7)</f>
        <v>45000</v>
      </c>
      <c r="T7" s="137"/>
      <c r="U7" s="138">
        <f>+S7-T7</f>
        <v>45000</v>
      </c>
    </row>
    <row r="8" spans="2:21" x14ac:dyDescent="0.8">
      <c r="B8" s="134">
        <v>2</v>
      </c>
      <c r="C8" s="135" t="s">
        <v>442</v>
      </c>
      <c r="D8" s="136">
        <v>1</v>
      </c>
      <c r="E8" s="135">
        <v>7500</v>
      </c>
      <c r="F8" s="136">
        <v>1</v>
      </c>
      <c r="G8" s="146">
        <v>7500</v>
      </c>
      <c r="H8" s="136"/>
      <c r="I8" s="146"/>
      <c r="J8" s="136">
        <v>0</v>
      </c>
      <c r="K8" s="146">
        <v>0</v>
      </c>
      <c r="L8" s="136">
        <v>0</v>
      </c>
      <c r="M8" s="146">
        <v>0</v>
      </c>
      <c r="N8" s="136">
        <v>0</v>
      </c>
      <c r="O8" s="146">
        <v>0</v>
      </c>
      <c r="P8" s="136">
        <v>0</v>
      </c>
      <c r="Q8" s="146">
        <v>0</v>
      </c>
      <c r="R8" s="136">
        <f t="shared" ref="R8:R30" si="0">+SUM(P8,N8,L8,J8,H8,F8,D8)</f>
        <v>2</v>
      </c>
      <c r="S8" s="150">
        <f t="shared" ref="S8:S29" si="1">+SUM(E8,G8,I8,K8,M8,O8,Q8)</f>
        <v>15000</v>
      </c>
      <c r="T8" s="137"/>
      <c r="U8" s="138">
        <f t="shared" ref="U8:U30" si="2">+S8-T8</f>
        <v>15000</v>
      </c>
    </row>
    <row r="9" spans="2:21" x14ac:dyDescent="0.8">
      <c r="B9" s="134">
        <v>3</v>
      </c>
      <c r="C9" s="135"/>
      <c r="D9" s="136"/>
      <c r="E9" s="135"/>
      <c r="F9" s="136"/>
      <c r="G9" s="146"/>
      <c r="H9" s="136"/>
      <c r="I9" s="146"/>
      <c r="J9" s="136"/>
      <c r="K9" s="146"/>
      <c r="L9" s="136"/>
      <c r="M9" s="146"/>
      <c r="N9" s="136"/>
      <c r="O9" s="146"/>
      <c r="P9" s="136"/>
      <c r="Q9" s="146"/>
      <c r="R9" s="136">
        <f t="shared" si="0"/>
        <v>0</v>
      </c>
      <c r="S9" s="150">
        <f t="shared" si="1"/>
        <v>0</v>
      </c>
      <c r="T9" s="137"/>
      <c r="U9" s="138">
        <f t="shared" si="2"/>
        <v>0</v>
      </c>
    </row>
    <row r="10" spans="2:21" x14ac:dyDescent="0.8">
      <c r="B10" s="134">
        <v>4</v>
      </c>
      <c r="C10" s="135"/>
      <c r="D10" s="136"/>
      <c r="E10" s="135"/>
      <c r="F10" s="136"/>
      <c r="G10" s="146"/>
      <c r="H10" s="136"/>
      <c r="I10" s="146"/>
      <c r="J10" s="136"/>
      <c r="K10" s="146"/>
      <c r="L10" s="136"/>
      <c r="M10" s="146"/>
      <c r="N10" s="136"/>
      <c r="O10" s="146"/>
      <c r="P10" s="136"/>
      <c r="Q10" s="146"/>
      <c r="R10" s="136">
        <f t="shared" si="0"/>
        <v>0</v>
      </c>
      <c r="S10" s="150">
        <f t="shared" si="1"/>
        <v>0</v>
      </c>
      <c r="T10" s="137"/>
      <c r="U10" s="138">
        <f t="shared" si="2"/>
        <v>0</v>
      </c>
    </row>
    <row r="11" spans="2:21" x14ac:dyDescent="0.8">
      <c r="B11" s="134">
        <v>5</v>
      </c>
      <c r="C11" s="135"/>
      <c r="D11" s="136"/>
      <c r="E11" s="135"/>
      <c r="F11" s="136"/>
      <c r="G11" s="146"/>
      <c r="H11" s="136"/>
      <c r="I11" s="146"/>
      <c r="J11" s="136"/>
      <c r="K11" s="146"/>
      <c r="L11" s="136"/>
      <c r="M11" s="146"/>
      <c r="N11" s="136"/>
      <c r="O11" s="146"/>
      <c r="P11" s="136"/>
      <c r="Q11" s="146"/>
      <c r="R11" s="136">
        <f t="shared" si="0"/>
        <v>0</v>
      </c>
      <c r="S11" s="150">
        <f t="shared" si="1"/>
        <v>0</v>
      </c>
      <c r="T11" s="137"/>
      <c r="U11" s="138">
        <f t="shared" si="2"/>
        <v>0</v>
      </c>
    </row>
    <row r="12" spans="2:21" x14ac:dyDescent="0.8">
      <c r="B12" s="134">
        <v>6</v>
      </c>
      <c r="C12" s="135"/>
      <c r="D12" s="136"/>
      <c r="E12" s="135"/>
      <c r="F12" s="136"/>
      <c r="G12" s="146"/>
      <c r="H12" s="136"/>
      <c r="I12" s="146"/>
      <c r="J12" s="136"/>
      <c r="K12" s="146"/>
      <c r="L12" s="136"/>
      <c r="M12" s="146"/>
      <c r="N12" s="136"/>
      <c r="O12" s="146"/>
      <c r="P12" s="136"/>
      <c r="Q12" s="146"/>
      <c r="R12" s="136">
        <f t="shared" si="0"/>
        <v>0</v>
      </c>
      <c r="S12" s="150">
        <f t="shared" si="1"/>
        <v>0</v>
      </c>
      <c r="T12" s="137"/>
      <c r="U12" s="138">
        <f t="shared" si="2"/>
        <v>0</v>
      </c>
    </row>
    <row r="13" spans="2:21" x14ac:dyDescent="0.8">
      <c r="B13" s="134">
        <v>7</v>
      </c>
      <c r="C13" s="135"/>
      <c r="D13" s="136"/>
      <c r="E13" s="135"/>
      <c r="F13" s="136"/>
      <c r="G13" s="146"/>
      <c r="H13" s="136"/>
      <c r="I13" s="146"/>
      <c r="J13" s="136"/>
      <c r="K13" s="146"/>
      <c r="L13" s="136"/>
      <c r="M13" s="146"/>
      <c r="N13" s="136"/>
      <c r="O13" s="146"/>
      <c r="P13" s="136"/>
      <c r="Q13" s="146"/>
      <c r="R13" s="136">
        <f t="shared" si="0"/>
        <v>0</v>
      </c>
      <c r="S13" s="150">
        <f t="shared" si="1"/>
        <v>0</v>
      </c>
      <c r="T13" s="137"/>
      <c r="U13" s="138">
        <f t="shared" si="2"/>
        <v>0</v>
      </c>
    </row>
    <row r="14" spans="2:21" x14ac:dyDescent="0.8">
      <c r="B14" s="134">
        <v>8</v>
      </c>
      <c r="C14" s="135"/>
      <c r="D14" s="136"/>
      <c r="E14" s="135"/>
      <c r="F14" s="136"/>
      <c r="G14" s="146"/>
      <c r="H14" s="136"/>
      <c r="I14" s="146"/>
      <c r="J14" s="136"/>
      <c r="K14" s="146"/>
      <c r="L14" s="136"/>
      <c r="M14" s="146"/>
      <c r="N14" s="136"/>
      <c r="O14" s="146"/>
      <c r="P14" s="136"/>
      <c r="Q14" s="146"/>
      <c r="R14" s="136">
        <f t="shared" si="0"/>
        <v>0</v>
      </c>
      <c r="S14" s="150">
        <f t="shared" si="1"/>
        <v>0</v>
      </c>
      <c r="T14" s="137"/>
      <c r="U14" s="138">
        <f t="shared" si="2"/>
        <v>0</v>
      </c>
    </row>
    <row r="15" spans="2:21" x14ac:dyDescent="0.8">
      <c r="B15" s="134">
        <v>9</v>
      </c>
      <c r="C15" s="135"/>
      <c r="D15" s="136"/>
      <c r="E15" s="135"/>
      <c r="F15" s="136"/>
      <c r="G15" s="146"/>
      <c r="H15" s="136"/>
      <c r="I15" s="146"/>
      <c r="J15" s="136"/>
      <c r="K15" s="146"/>
      <c r="L15" s="136"/>
      <c r="M15" s="146"/>
      <c r="N15" s="136"/>
      <c r="O15" s="146"/>
      <c r="P15" s="136"/>
      <c r="Q15" s="146"/>
      <c r="R15" s="136">
        <f t="shared" si="0"/>
        <v>0</v>
      </c>
      <c r="S15" s="150">
        <f t="shared" si="1"/>
        <v>0</v>
      </c>
      <c r="T15" s="137"/>
      <c r="U15" s="138">
        <f t="shared" si="2"/>
        <v>0</v>
      </c>
    </row>
    <row r="16" spans="2:21" x14ac:dyDescent="0.8">
      <c r="B16" s="134">
        <v>10</v>
      </c>
      <c r="C16" s="135"/>
      <c r="D16" s="136"/>
      <c r="E16" s="135"/>
      <c r="F16" s="136"/>
      <c r="G16" s="146"/>
      <c r="H16" s="136"/>
      <c r="I16" s="146"/>
      <c r="J16" s="136"/>
      <c r="K16" s="146"/>
      <c r="L16" s="136"/>
      <c r="M16" s="146"/>
      <c r="N16" s="136"/>
      <c r="O16" s="146"/>
      <c r="P16" s="136"/>
      <c r="Q16" s="146"/>
      <c r="R16" s="136">
        <f t="shared" si="0"/>
        <v>0</v>
      </c>
      <c r="S16" s="150">
        <f t="shared" si="1"/>
        <v>0</v>
      </c>
      <c r="T16" s="137"/>
      <c r="U16" s="138">
        <f t="shared" si="2"/>
        <v>0</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si="0"/>
        <v>0</v>
      </c>
      <c r="S26" s="150">
        <f t="shared" si="1"/>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0"/>
        <v>0</v>
      </c>
      <c r="S27" s="150">
        <f t="shared" si="1"/>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0"/>
        <v>0</v>
      </c>
      <c r="S28" s="150">
        <f t="shared" si="1"/>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0"/>
        <v>0</v>
      </c>
      <c r="S29" s="150">
        <f t="shared" si="1"/>
        <v>0</v>
      </c>
      <c r="T29" s="137"/>
      <c r="U29" s="138">
        <f t="shared" si="2"/>
        <v>0</v>
      </c>
    </row>
    <row r="30" spans="2:21" ht="25.2" thickBot="1" x14ac:dyDescent="0.85">
      <c r="B30" s="134">
        <v>24</v>
      </c>
      <c r="C30" s="135"/>
      <c r="D30" s="136"/>
      <c r="E30" s="135"/>
      <c r="F30" s="136"/>
      <c r="G30" s="146"/>
      <c r="H30" s="136"/>
      <c r="I30" s="146"/>
      <c r="J30" s="136"/>
      <c r="K30" s="146"/>
      <c r="L30" s="136"/>
      <c r="M30" s="146"/>
      <c r="N30" s="136"/>
      <c r="O30" s="146"/>
      <c r="P30" s="136"/>
      <c r="Q30" s="146"/>
      <c r="R30" s="136">
        <f t="shared" si="0"/>
        <v>0</v>
      </c>
      <c r="S30" s="150">
        <f>+SUM(E30,G30,I30,K30,M30,O30,Q30)</f>
        <v>0</v>
      </c>
      <c r="T30" s="137"/>
      <c r="U30" s="138">
        <f t="shared" si="2"/>
        <v>0</v>
      </c>
    </row>
    <row r="31" spans="2:21" ht="25.8" thickTop="1" thickBot="1" x14ac:dyDescent="0.9">
      <c r="B31" s="139" t="s">
        <v>360</v>
      </c>
      <c r="C31" s="140"/>
      <c r="D31" s="141">
        <f>SUM(D7:D30)</f>
        <v>2</v>
      </c>
      <c r="E31" s="142">
        <f t="shared" ref="E31:Q31" si="3">SUM(E7:E30)</f>
        <v>15000</v>
      </c>
      <c r="F31" s="141">
        <f t="shared" si="3"/>
        <v>2</v>
      </c>
      <c r="G31" s="147">
        <f t="shared" si="3"/>
        <v>15000</v>
      </c>
      <c r="H31" s="141">
        <f t="shared" si="3"/>
        <v>0</v>
      </c>
      <c r="I31" s="147">
        <f t="shared" si="3"/>
        <v>0</v>
      </c>
      <c r="J31" s="141">
        <f t="shared" si="3"/>
        <v>1</v>
      </c>
      <c r="K31" s="147">
        <f t="shared" si="3"/>
        <v>7500</v>
      </c>
      <c r="L31" s="141">
        <f t="shared" si="3"/>
        <v>1</v>
      </c>
      <c r="M31" s="147">
        <f t="shared" si="3"/>
        <v>7500</v>
      </c>
      <c r="N31" s="141">
        <f t="shared" si="3"/>
        <v>1</v>
      </c>
      <c r="O31" s="147">
        <f t="shared" si="3"/>
        <v>7500</v>
      </c>
      <c r="P31" s="141">
        <f t="shared" si="3"/>
        <v>1</v>
      </c>
      <c r="Q31" s="147">
        <f t="shared" si="3"/>
        <v>7500</v>
      </c>
      <c r="R31" s="141">
        <f>+SUM(P31,N31,L31,J31,H31,F31,D31)</f>
        <v>8</v>
      </c>
      <c r="S31" s="151">
        <f>+SUM(E31,G31,I31,K31,M31,O31,Q31)</f>
        <v>60000</v>
      </c>
      <c r="T31" s="143">
        <f>SUBTOTAL(109,MACONS!$T$7:$T$30)</f>
        <v>0</v>
      </c>
      <c r="U31" s="144">
        <f>SUBTOTAL(109,MACONS!$U$7:$U$30)</f>
        <v>197500</v>
      </c>
    </row>
    <row r="33" spans="16:19" x14ac:dyDescent="0.8">
      <c r="P33" s="96" t="s">
        <v>361</v>
      </c>
      <c r="R33" s="125">
        <f>+MACONS!$R$31-SUM('SUIVI HEBDOMADAIRE PAIE'!D7,'SUIVI HEBDOMADAIRE PAIE'!F7,'SUIVI HEBDOMADAIRE PAIE'!H7,'SUIVI HEBDOMADAIRE PAIE'!J7,'SUIVI HEBDOMADAIRE PAIE'!L7,'SUIVI HEBDOMADAIRE PAIE'!N7,'SUIVI HEBDOMADAIRE PAIE'!P7)</f>
        <v>0</v>
      </c>
      <c r="S33"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2:U60"/>
  <sheetViews>
    <sheetView showGridLines="0" topLeftCell="A2" zoomScale="32" zoomScaleNormal="32" workbookViewId="0">
      <pane xSplit="3" ySplit="5" topLeftCell="D7" activePane="bottomRight" state="frozen"/>
      <selection activeCell="K33" sqref="K33"/>
      <selection pane="topRight" activeCell="K33" sqref="K33"/>
      <selection pane="bottomLeft" activeCell="K33" sqref="K33"/>
      <selection pane="bottomRight" activeCell="B3" sqref="B3:U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454</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374</v>
      </c>
      <c r="D7" s="136">
        <v>0</v>
      </c>
      <c r="E7" s="135">
        <v>0</v>
      </c>
      <c r="F7" s="136">
        <v>0</v>
      </c>
      <c r="G7" s="146">
        <v>0</v>
      </c>
      <c r="H7" s="136"/>
      <c r="I7" s="146"/>
      <c r="J7" s="136">
        <v>0</v>
      </c>
      <c r="K7" s="146">
        <v>0</v>
      </c>
      <c r="L7" s="136">
        <v>0</v>
      </c>
      <c r="M7" s="146">
        <v>0</v>
      </c>
      <c r="N7" s="136">
        <v>0</v>
      </c>
      <c r="O7" s="146">
        <v>0</v>
      </c>
      <c r="P7" s="136">
        <v>0</v>
      </c>
      <c r="Q7" s="146">
        <v>0</v>
      </c>
      <c r="R7" s="136">
        <f>+SUM(P7,N7,L7,J7,H7,F7,D7)</f>
        <v>0</v>
      </c>
      <c r="S7" s="146">
        <f>+SUM(E7,G7,I7,K7,M7,O7,Q7)</f>
        <v>0</v>
      </c>
      <c r="T7" s="137"/>
      <c r="U7" s="138">
        <f>+S7-T7</f>
        <v>0</v>
      </c>
    </row>
    <row r="8" spans="2:21" x14ac:dyDescent="0.8">
      <c r="B8" s="134">
        <v>2</v>
      </c>
      <c r="C8" s="135" t="s">
        <v>375</v>
      </c>
      <c r="D8" s="136">
        <v>0</v>
      </c>
      <c r="E8" s="135">
        <v>0</v>
      </c>
      <c r="F8" s="136">
        <v>1</v>
      </c>
      <c r="G8" s="146">
        <v>4500</v>
      </c>
      <c r="H8" s="136"/>
      <c r="I8" s="146"/>
      <c r="J8" s="136">
        <v>0</v>
      </c>
      <c r="K8" s="146">
        <v>0</v>
      </c>
      <c r="L8" s="136">
        <v>0</v>
      </c>
      <c r="M8" s="146">
        <v>0</v>
      </c>
      <c r="N8" s="136">
        <v>0</v>
      </c>
      <c r="O8" s="146">
        <v>0</v>
      </c>
      <c r="P8" s="136">
        <v>0</v>
      </c>
      <c r="Q8" s="146">
        <v>0</v>
      </c>
      <c r="R8" s="136">
        <f t="shared" ref="R8:R57" si="0">+SUM(P8,N8,L8,J8,H8,F8,D8)</f>
        <v>1</v>
      </c>
      <c r="S8" s="150">
        <f t="shared" ref="S8:S56" si="1">+SUM(E8,G8,I8,K8,M8,O8,Q8)</f>
        <v>4500</v>
      </c>
      <c r="T8" s="137"/>
      <c r="U8" s="138">
        <f t="shared" ref="U8:U57" si="2">+S8-T8</f>
        <v>4500</v>
      </c>
    </row>
    <row r="9" spans="2:21" x14ac:dyDescent="0.8">
      <c r="B9" s="134">
        <v>3</v>
      </c>
      <c r="C9" s="135" t="s">
        <v>376</v>
      </c>
      <c r="D9" s="136">
        <v>1</v>
      </c>
      <c r="E9" s="135">
        <v>4500</v>
      </c>
      <c r="F9" s="136">
        <v>1</v>
      </c>
      <c r="G9" s="146">
        <v>4500</v>
      </c>
      <c r="H9" s="136"/>
      <c r="I9" s="146"/>
      <c r="J9" s="136">
        <v>1</v>
      </c>
      <c r="K9" s="146">
        <v>4500</v>
      </c>
      <c r="L9" s="136">
        <v>0</v>
      </c>
      <c r="M9" s="146">
        <v>0</v>
      </c>
      <c r="N9" s="136">
        <v>0</v>
      </c>
      <c r="O9" s="146">
        <v>0</v>
      </c>
      <c r="P9" s="136">
        <v>0</v>
      </c>
      <c r="Q9" s="146">
        <v>0</v>
      </c>
      <c r="R9" s="136">
        <f t="shared" si="0"/>
        <v>3</v>
      </c>
      <c r="S9" s="150">
        <f t="shared" si="1"/>
        <v>13500</v>
      </c>
      <c r="T9" s="137"/>
      <c r="U9" s="138">
        <f t="shared" si="2"/>
        <v>13500</v>
      </c>
    </row>
    <row r="10" spans="2:21" x14ac:dyDescent="0.8">
      <c r="B10" s="134">
        <v>4</v>
      </c>
      <c r="C10" s="135" t="s">
        <v>377</v>
      </c>
      <c r="D10" s="136">
        <v>1</v>
      </c>
      <c r="E10" s="135">
        <v>4500</v>
      </c>
      <c r="F10" s="136">
        <v>1</v>
      </c>
      <c r="G10" s="146">
        <v>4500</v>
      </c>
      <c r="H10" s="136"/>
      <c r="I10" s="146"/>
      <c r="J10" s="136">
        <v>1</v>
      </c>
      <c r="K10" s="146">
        <v>4500</v>
      </c>
      <c r="L10" s="136">
        <v>1</v>
      </c>
      <c r="M10" s="146">
        <v>4500</v>
      </c>
      <c r="N10" s="136">
        <v>1</v>
      </c>
      <c r="O10" s="146">
        <v>4500</v>
      </c>
      <c r="P10" s="136">
        <v>1</v>
      </c>
      <c r="Q10" s="146">
        <v>4500</v>
      </c>
      <c r="R10" s="136">
        <f t="shared" si="0"/>
        <v>6</v>
      </c>
      <c r="S10" s="150">
        <f t="shared" si="1"/>
        <v>27000</v>
      </c>
      <c r="T10" s="137"/>
      <c r="U10" s="138">
        <f t="shared" si="2"/>
        <v>27000</v>
      </c>
    </row>
    <row r="11" spans="2:21" x14ac:dyDescent="0.8">
      <c r="B11" s="134">
        <v>5</v>
      </c>
      <c r="C11" s="135" t="s">
        <v>378</v>
      </c>
      <c r="D11" s="136">
        <v>1</v>
      </c>
      <c r="E11" s="135">
        <v>4500</v>
      </c>
      <c r="F11" s="136">
        <v>1</v>
      </c>
      <c r="G11" s="146">
        <v>4500</v>
      </c>
      <c r="H11" s="136"/>
      <c r="I11" s="146"/>
      <c r="J11" s="136">
        <v>1</v>
      </c>
      <c r="K11" s="146">
        <v>4500</v>
      </c>
      <c r="L11" s="136">
        <v>1</v>
      </c>
      <c r="M11" s="146">
        <v>4500</v>
      </c>
      <c r="N11" s="136">
        <v>1</v>
      </c>
      <c r="O11" s="146">
        <v>4500</v>
      </c>
      <c r="P11" s="136">
        <v>1</v>
      </c>
      <c r="Q11" s="146">
        <v>4500</v>
      </c>
      <c r="R11" s="136">
        <f t="shared" si="0"/>
        <v>6</v>
      </c>
      <c r="S11" s="150">
        <f t="shared" si="1"/>
        <v>27000</v>
      </c>
      <c r="T11" s="137"/>
      <c r="U11" s="138">
        <f t="shared" si="2"/>
        <v>27000</v>
      </c>
    </row>
    <row r="12" spans="2:21" x14ac:dyDescent="0.8">
      <c r="B12" s="134">
        <v>6</v>
      </c>
      <c r="C12" s="135" t="s">
        <v>379</v>
      </c>
      <c r="D12" s="136">
        <v>1</v>
      </c>
      <c r="E12" s="135">
        <v>4500</v>
      </c>
      <c r="F12" s="136">
        <v>1</v>
      </c>
      <c r="G12" s="146">
        <v>4500</v>
      </c>
      <c r="H12" s="136"/>
      <c r="I12" s="146"/>
      <c r="J12" s="136">
        <v>1</v>
      </c>
      <c r="K12" s="146">
        <v>4500</v>
      </c>
      <c r="L12" s="136">
        <v>1</v>
      </c>
      <c r="M12" s="146">
        <v>4500</v>
      </c>
      <c r="N12" s="136">
        <v>1</v>
      </c>
      <c r="O12" s="146">
        <v>4500</v>
      </c>
      <c r="P12" s="136">
        <v>0</v>
      </c>
      <c r="Q12" s="146">
        <v>0</v>
      </c>
      <c r="R12" s="136">
        <f t="shared" si="0"/>
        <v>5</v>
      </c>
      <c r="S12" s="150">
        <f t="shared" si="1"/>
        <v>22500</v>
      </c>
      <c r="T12" s="137"/>
      <c r="U12" s="138">
        <f t="shared" si="2"/>
        <v>22500</v>
      </c>
    </row>
    <row r="13" spans="2:21" x14ac:dyDescent="0.8">
      <c r="B13" s="134">
        <v>7</v>
      </c>
      <c r="C13" s="135" t="s">
        <v>380</v>
      </c>
      <c r="D13" s="136">
        <v>1</v>
      </c>
      <c r="E13" s="135">
        <v>4500</v>
      </c>
      <c r="F13" s="136">
        <v>1</v>
      </c>
      <c r="G13" s="146">
        <v>4500</v>
      </c>
      <c r="H13" s="136"/>
      <c r="I13" s="146"/>
      <c r="J13" s="136">
        <v>1</v>
      </c>
      <c r="K13" s="146">
        <v>4500</v>
      </c>
      <c r="L13" s="136">
        <v>1</v>
      </c>
      <c r="M13" s="146">
        <v>4500</v>
      </c>
      <c r="N13" s="136">
        <v>1</v>
      </c>
      <c r="O13" s="146">
        <v>4500</v>
      </c>
      <c r="P13" s="136">
        <v>1</v>
      </c>
      <c r="Q13" s="146">
        <v>4500</v>
      </c>
      <c r="R13" s="136">
        <f t="shared" si="0"/>
        <v>6</v>
      </c>
      <c r="S13" s="150">
        <f t="shared" si="1"/>
        <v>27000</v>
      </c>
      <c r="T13" s="137"/>
      <c r="U13" s="138">
        <f t="shared" si="2"/>
        <v>27000</v>
      </c>
    </row>
    <row r="14" spans="2:21" x14ac:dyDescent="0.8">
      <c r="B14" s="134">
        <v>8</v>
      </c>
      <c r="C14" s="135" t="s">
        <v>381</v>
      </c>
      <c r="D14" s="136">
        <v>0</v>
      </c>
      <c r="E14" s="135">
        <v>0</v>
      </c>
      <c r="F14" s="136">
        <v>0</v>
      </c>
      <c r="G14" s="146">
        <v>0</v>
      </c>
      <c r="H14" s="136"/>
      <c r="I14" s="146"/>
      <c r="J14" s="136">
        <v>1</v>
      </c>
      <c r="K14" s="146">
        <v>4500</v>
      </c>
      <c r="L14" s="136">
        <v>1</v>
      </c>
      <c r="M14" s="146">
        <v>4500</v>
      </c>
      <c r="N14" s="136">
        <v>1</v>
      </c>
      <c r="O14" s="146">
        <v>4500</v>
      </c>
      <c r="P14" s="136">
        <v>1</v>
      </c>
      <c r="Q14" s="146">
        <v>4500</v>
      </c>
      <c r="R14" s="136">
        <f t="shared" si="0"/>
        <v>4</v>
      </c>
      <c r="S14" s="150">
        <f t="shared" si="1"/>
        <v>18000</v>
      </c>
      <c r="T14" s="137"/>
      <c r="U14" s="138">
        <f t="shared" si="2"/>
        <v>18000</v>
      </c>
    </row>
    <row r="15" spans="2:21" x14ac:dyDescent="0.8">
      <c r="B15" s="134">
        <v>9</v>
      </c>
      <c r="C15" s="135" t="s">
        <v>382</v>
      </c>
      <c r="D15" s="136">
        <v>1</v>
      </c>
      <c r="E15" s="135">
        <v>4500</v>
      </c>
      <c r="F15" s="136">
        <v>1</v>
      </c>
      <c r="G15" s="146">
        <v>4500</v>
      </c>
      <c r="H15" s="136"/>
      <c r="I15" s="146"/>
      <c r="J15" s="136">
        <v>1</v>
      </c>
      <c r="K15" s="146">
        <v>4500</v>
      </c>
      <c r="L15" s="136">
        <v>1</v>
      </c>
      <c r="M15" s="146">
        <v>4500</v>
      </c>
      <c r="N15" s="136">
        <v>1</v>
      </c>
      <c r="O15" s="146">
        <v>4500</v>
      </c>
      <c r="P15" s="136">
        <v>0</v>
      </c>
      <c r="Q15" s="146">
        <v>0</v>
      </c>
      <c r="R15" s="136">
        <f t="shared" si="0"/>
        <v>5</v>
      </c>
      <c r="S15" s="150">
        <f t="shared" si="1"/>
        <v>22500</v>
      </c>
      <c r="T15" s="137"/>
      <c r="U15" s="138">
        <f t="shared" si="2"/>
        <v>22500</v>
      </c>
    </row>
    <row r="16" spans="2:21" x14ac:dyDescent="0.8">
      <c r="B16" s="134">
        <v>10</v>
      </c>
      <c r="C16" s="135" t="s">
        <v>383</v>
      </c>
      <c r="D16" s="136">
        <v>1</v>
      </c>
      <c r="E16" s="135">
        <v>4500</v>
      </c>
      <c r="F16" s="136">
        <v>1</v>
      </c>
      <c r="G16" s="146">
        <v>4500</v>
      </c>
      <c r="H16" s="136"/>
      <c r="I16" s="146"/>
      <c r="J16" s="136">
        <v>0</v>
      </c>
      <c r="K16" s="146">
        <v>0</v>
      </c>
      <c r="L16" s="136">
        <v>0</v>
      </c>
      <c r="M16" s="146">
        <v>0</v>
      </c>
      <c r="N16" s="136">
        <v>1</v>
      </c>
      <c r="O16" s="146">
        <v>4500</v>
      </c>
      <c r="P16" s="136">
        <v>1</v>
      </c>
      <c r="Q16" s="146">
        <v>4500</v>
      </c>
      <c r="R16" s="136">
        <f t="shared" si="0"/>
        <v>4</v>
      </c>
      <c r="S16" s="150">
        <f t="shared" si="1"/>
        <v>18000</v>
      </c>
      <c r="T16" s="137"/>
      <c r="U16" s="138">
        <f t="shared" si="2"/>
        <v>18000</v>
      </c>
    </row>
    <row r="17" spans="2:21" x14ac:dyDescent="0.8">
      <c r="B17" s="134">
        <v>11</v>
      </c>
      <c r="C17" s="135" t="s">
        <v>384</v>
      </c>
      <c r="D17" s="136">
        <v>0</v>
      </c>
      <c r="E17" s="135">
        <v>0</v>
      </c>
      <c r="F17" s="136">
        <v>0</v>
      </c>
      <c r="G17" s="146">
        <v>0</v>
      </c>
      <c r="H17" s="136"/>
      <c r="I17" s="146"/>
      <c r="J17" s="136">
        <v>0</v>
      </c>
      <c r="K17" s="146">
        <v>0</v>
      </c>
      <c r="L17" s="136">
        <v>0</v>
      </c>
      <c r="M17" s="146">
        <v>0</v>
      </c>
      <c r="N17" s="136">
        <v>0</v>
      </c>
      <c r="O17" s="146">
        <v>0</v>
      </c>
      <c r="P17" s="136">
        <v>0</v>
      </c>
      <c r="Q17" s="146">
        <v>0</v>
      </c>
      <c r="R17" s="136">
        <f t="shared" si="0"/>
        <v>0</v>
      </c>
      <c r="S17" s="150">
        <f t="shared" si="1"/>
        <v>0</v>
      </c>
      <c r="T17" s="137"/>
      <c r="U17" s="138">
        <f t="shared" si="2"/>
        <v>0</v>
      </c>
    </row>
    <row r="18" spans="2:21" x14ac:dyDescent="0.8">
      <c r="B18" s="134">
        <v>12</v>
      </c>
      <c r="C18" s="135" t="s">
        <v>385</v>
      </c>
      <c r="D18" s="136">
        <v>1</v>
      </c>
      <c r="E18" s="135">
        <v>4500</v>
      </c>
      <c r="F18" s="136">
        <v>1</v>
      </c>
      <c r="G18" s="146">
        <v>4500</v>
      </c>
      <c r="H18" s="136"/>
      <c r="I18" s="146"/>
      <c r="J18" s="136">
        <v>0</v>
      </c>
      <c r="K18" s="146">
        <v>0</v>
      </c>
      <c r="L18" s="136">
        <v>1</v>
      </c>
      <c r="M18" s="146">
        <v>4500</v>
      </c>
      <c r="N18" s="136">
        <v>1</v>
      </c>
      <c r="O18" s="146">
        <v>4500</v>
      </c>
      <c r="P18" s="136">
        <v>1</v>
      </c>
      <c r="Q18" s="146">
        <v>4500</v>
      </c>
      <c r="R18" s="136">
        <f t="shared" si="0"/>
        <v>5</v>
      </c>
      <c r="S18" s="150">
        <f t="shared" si="1"/>
        <v>22500</v>
      </c>
      <c r="T18" s="137"/>
      <c r="U18" s="138">
        <f t="shared" si="2"/>
        <v>22500</v>
      </c>
    </row>
    <row r="19" spans="2:21" x14ac:dyDescent="0.8">
      <c r="B19" s="134">
        <v>13</v>
      </c>
      <c r="C19" s="135" t="s">
        <v>386</v>
      </c>
      <c r="D19" s="136">
        <v>1</v>
      </c>
      <c r="E19" s="135">
        <v>4500</v>
      </c>
      <c r="F19" s="136">
        <v>0</v>
      </c>
      <c r="G19" s="146">
        <v>0</v>
      </c>
      <c r="H19" s="136"/>
      <c r="I19" s="146"/>
      <c r="J19" s="136">
        <v>1</v>
      </c>
      <c r="K19" s="146">
        <v>4500</v>
      </c>
      <c r="L19" s="136">
        <v>1</v>
      </c>
      <c r="M19" s="146">
        <v>4500</v>
      </c>
      <c r="N19" s="136">
        <v>1</v>
      </c>
      <c r="O19" s="146">
        <v>4500</v>
      </c>
      <c r="P19" s="136">
        <v>0</v>
      </c>
      <c r="Q19" s="146">
        <v>0</v>
      </c>
      <c r="R19" s="136">
        <f t="shared" si="0"/>
        <v>4</v>
      </c>
      <c r="S19" s="150">
        <f t="shared" si="1"/>
        <v>18000</v>
      </c>
      <c r="T19" s="137"/>
      <c r="U19" s="138">
        <f t="shared" si="2"/>
        <v>18000</v>
      </c>
    </row>
    <row r="20" spans="2:21" x14ac:dyDescent="0.8">
      <c r="B20" s="134">
        <v>14</v>
      </c>
      <c r="C20" s="135" t="s">
        <v>387</v>
      </c>
      <c r="D20" s="136">
        <v>1</v>
      </c>
      <c r="E20" s="135">
        <v>4500</v>
      </c>
      <c r="F20" s="136">
        <v>1</v>
      </c>
      <c r="G20" s="146">
        <v>4500</v>
      </c>
      <c r="H20" s="136"/>
      <c r="I20" s="146"/>
      <c r="J20" s="136">
        <v>1</v>
      </c>
      <c r="K20" s="146">
        <v>4500</v>
      </c>
      <c r="L20" s="136">
        <v>1</v>
      </c>
      <c r="M20" s="146">
        <v>4500</v>
      </c>
      <c r="N20" s="136">
        <v>1</v>
      </c>
      <c r="O20" s="146">
        <v>4500</v>
      </c>
      <c r="P20" s="136">
        <v>1</v>
      </c>
      <c r="Q20" s="146">
        <v>4500</v>
      </c>
      <c r="R20" s="136">
        <f t="shared" si="0"/>
        <v>6</v>
      </c>
      <c r="S20" s="150">
        <f t="shared" si="1"/>
        <v>27000</v>
      </c>
      <c r="T20" s="137"/>
      <c r="U20" s="138">
        <f t="shared" si="2"/>
        <v>27000</v>
      </c>
    </row>
    <row r="21" spans="2:21" x14ac:dyDescent="0.8">
      <c r="B21" s="134">
        <v>15</v>
      </c>
      <c r="C21" s="135" t="s">
        <v>388</v>
      </c>
      <c r="D21" s="136">
        <v>1</v>
      </c>
      <c r="E21" s="135">
        <v>4500</v>
      </c>
      <c r="F21" s="136">
        <v>1</v>
      </c>
      <c r="G21" s="146">
        <v>4500</v>
      </c>
      <c r="H21" s="136"/>
      <c r="I21" s="146"/>
      <c r="J21" s="136">
        <v>1</v>
      </c>
      <c r="K21" s="146">
        <v>4500</v>
      </c>
      <c r="L21" s="136">
        <v>1</v>
      </c>
      <c r="M21" s="146">
        <v>4500</v>
      </c>
      <c r="N21" s="136">
        <v>1</v>
      </c>
      <c r="O21" s="146">
        <v>4500</v>
      </c>
      <c r="P21" s="136">
        <v>1</v>
      </c>
      <c r="Q21" s="146">
        <v>4500</v>
      </c>
      <c r="R21" s="136">
        <f t="shared" si="0"/>
        <v>6</v>
      </c>
      <c r="S21" s="150">
        <f t="shared" si="1"/>
        <v>27000</v>
      </c>
      <c r="T21" s="137"/>
      <c r="U21" s="138">
        <f t="shared" si="2"/>
        <v>27000</v>
      </c>
    </row>
    <row r="22" spans="2:21" x14ac:dyDescent="0.8">
      <c r="B22" s="134">
        <v>16</v>
      </c>
      <c r="C22" s="135" t="s">
        <v>389</v>
      </c>
      <c r="D22" s="136">
        <v>1</v>
      </c>
      <c r="E22" s="135">
        <v>4500</v>
      </c>
      <c r="F22" s="136">
        <v>1</v>
      </c>
      <c r="G22" s="146">
        <v>4500</v>
      </c>
      <c r="H22" s="136"/>
      <c r="I22" s="146"/>
      <c r="J22" s="136">
        <v>1</v>
      </c>
      <c r="K22" s="146">
        <v>4500</v>
      </c>
      <c r="L22" s="136">
        <v>1</v>
      </c>
      <c r="M22" s="146">
        <v>4500</v>
      </c>
      <c r="N22" s="136">
        <v>1</v>
      </c>
      <c r="O22" s="146">
        <v>4500</v>
      </c>
      <c r="P22" s="136">
        <v>1</v>
      </c>
      <c r="Q22" s="146">
        <v>4500</v>
      </c>
      <c r="R22" s="136">
        <f t="shared" si="0"/>
        <v>6</v>
      </c>
      <c r="S22" s="150">
        <f t="shared" si="1"/>
        <v>27000</v>
      </c>
      <c r="T22" s="137"/>
      <c r="U22" s="138">
        <f t="shared" si="2"/>
        <v>27000</v>
      </c>
    </row>
    <row r="23" spans="2:21" x14ac:dyDescent="0.8">
      <c r="B23" s="134">
        <v>17</v>
      </c>
      <c r="C23" s="135" t="s">
        <v>390</v>
      </c>
      <c r="D23" s="136">
        <v>1</v>
      </c>
      <c r="E23" s="135">
        <v>4500</v>
      </c>
      <c r="F23" s="136">
        <v>0</v>
      </c>
      <c r="G23" s="146">
        <v>0</v>
      </c>
      <c r="H23" s="136"/>
      <c r="I23" s="146"/>
      <c r="J23" s="136">
        <v>1</v>
      </c>
      <c r="K23" s="146">
        <v>4500</v>
      </c>
      <c r="L23" s="136">
        <v>1</v>
      </c>
      <c r="M23" s="146">
        <v>4500</v>
      </c>
      <c r="N23" s="136">
        <v>1</v>
      </c>
      <c r="O23" s="146">
        <v>4500</v>
      </c>
      <c r="P23" s="136">
        <v>1</v>
      </c>
      <c r="Q23" s="146">
        <v>4500</v>
      </c>
      <c r="R23" s="136">
        <f t="shared" si="0"/>
        <v>5</v>
      </c>
      <c r="S23" s="150">
        <f t="shared" si="1"/>
        <v>22500</v>
      </c>
      <c r="T23" s="137"/>
      <c r="U23" s="138">
        <f t="shared" si="2"/>
        <v>22500</v>
      </c>
    </row>
    <row r="24" spans="2:21" x14ac:dyDescent="0.8">
      <c r="B24" s="134">
        <v>18</v>
      </c>
      <c r="C24" s="135" t="s">
        <v>391</v>
      </c>
      <c r="D24" s="136">
        <v>0</v>
      </c>
      <c r="E24" s="135">
        <v>0</v>
      </c>
      <c r="F24" s="136">
        <v>0</v>
      </c>
      <c r="G24" s="146">
        <v>0</v>
      </c>
      <c r="H24" s="136"/>
      <c r="I24" s="146"/>
      <c r="J24" s="136">
        <v>1</v>
      </c>
      <c r="K24" s="146">
        <v>4500</v>
      </c>
      <c r="L24" s="136">
        <v>1</v>
      </c>
      <c r="M24" s="146">
        <v>4500</v>
      </c>
      <c r="N24" s="136">
        <v>1</v>
      </c>
      <c r="O24" s="146">
        <v>4500</v>
      </c>
      <c r="P24" s="136">
        <v>1</v>
      </c>
      <c r="Q24" s="146">
        <v>4500</v>
      </c>
      <c r="R24" s="136">
        <f t="shared" si="0"/>
        <v>4</v>
      </c>
      <c r="S24" s="150">
        <f t="shared" si="1"/>
        <v>18000</v>
      </c>
      <c r="T24" s="137"/>
      <c r="U24" s="138">
        <f t="shared" si="2"/>
        <v>18000</v>
      </c>
    </row>
    <row r="25" spans="2:21" x14ac:dyDescent="0.8">
      <c r="B25" s="134">
        <v>19</v>
      </c>
      <c r="C25" s="135" t="s">
        <v>392</v>
      </c>
      <c r="D25" s="136">
        <v>1</v>
      </c>
      <c r="E25" s="135">
        <v>4500</v>
      </c>
      <c r="F25" s="136">
        <v>0</v>
      </c>
      <c r="G25" s="146">
        <v>0</v>
      </c>
      <c r="H25" s="136"/>
      <c r="I25" s="146"/>
      <c r="J25" s="136">
        <v>1</v>
      </c>
      <c r="K25" s="146">
        <v>4500</v>
      </c>
      <c r="L25" s="136">
        <v>1</v>
      </c>
      <c r="M25" s="146">
        <v>4500</v>
      </c>
      <c r="N25" s="136">
        <v>1</v>
      </c>
      <c r="O25" s="146">
        <v>4500</v>
      </c>
      <c r="P25" s="136">
        <v>1</v>
      </c>
      <c r="Q25" s="146">
        <v>4500</v>
      </c>
      <c r="R25" s="136">
        <f t="shared" si="0"/>
        <v>5</v>
      </c>
      <c r="S25" s="150">
        <f t="shared" si="1"/>
        <v>22500</v>
      </c>
      <c r="T25" s="137"/>
      <c r="U25" s="138">
        <f t="shared" si="2"/>
        <v>22500</v>
      </c>
    </row>
    <row r="26" spans="2:21" x14ac:dyDescent="0.8">
      <c r="B26" s="134">
        <v>20</v>
      </c>
      <c r="C26" s="135" t="s">
        <v>393</v>
      </c>
      <c r="D26" s="136">
        <v>1</v>
      </c>
      <c r="E26" s="135">
        <v>4500</v>
      </c>
      <c r="F26" s="136">
        <v>1</v>
      </c>
      <c r="G26" s="146">
        <v>4500</v>
      </c>
      <c r="H26" s="136"/>
      <c r="I26" s="146"/>
      <c r="J26" s="136">
        <v>1</v>
      </c>
      <c r="K26" s="146">
        <v>4500</v>
      </c>
      <c r="L26" s="136">
        <v>1</v>
      </c>
      <c r="M26" s="146">
        <v>4500</v>
      </c>
      <c r="N26" s="136">
        <v>1</v>
      </c>
      <c r="O26" s="146">
        <v>4500</v>
      </c>
      <c r="P26" s="136">
        <v>1</v>
      </c>
      <c r="Q26" s="146">
        <v>4500</v>
      </c>
      <c r="R26" s="136">
        <f t="shared" ref="R26:R52" si="3">+SUM(P26,N26,L26,J26,H26,F26,D26)</f>
        <v>6</v>
      </c>
      <c r="S26" s="150">
        <f t="shared" ref="S26:S52" si="4">+SUM(E26,G26,I26,K26,M26,O26,Q26)</f>
        <v>27000</v>
      </c>
      <c r="T26" s="137"/>
      <c r="U26" s="138">
        <f t="shared" si="2"/>
        <v>27000</v>
      </c>
    </row>
    <row r="27" spans="2:21" x14ac:dyDescent="0.8">
      <c r="B27" s="134">
        <v>21</v>
      </c>
      <c r="C27" s="135" t="s">
        <v>394</v>
      </c>
      <c r="D27" s="136">
        <v>1</v>
      </c>
      <c r="E27" s="135">
        <v>4500</v>
      </c>
      <c r="F27" s="136">
        <v>1</v>
      </c>
      <c r="G27" s="146">
        <v>4500</v>
      </c>
      <c r="H27" s="136"/>
      <c r="I27" s="146"/>
      <c r="J27" s="136">
        <v>1</v>
      </c>
      <c r="K27" s="146">
        <v>4500</v>
      </c>
      <c r="L27" s="136">
        <v>1</v>
      </c>
      <c r="M27" s="146">
        <v>4500</v>
      </c>
      <c r="N27" s="136">
        <v>1</v>
      </c>
      <c r="O27" s="146">
        <v>4500</v>
      </c>
      <c r="P27" s="136">
        <v>1</v>
      </c>
      <c r="Q27" s="146">
        <v>4500</v>
      </c>
      <c r="R27" s="136">
        <f t="shared" si="3"/>
        <v>6</v>
      </c>
      <c r="S27" s="150">
        <f t="shared" si="4"/>
        <v>27000</v>
      </c>
      <c r="T27" s="137"/>
      <c r="U27" s="138">
        <f t="shared" si="2"/>
        <v>27000</v>
      </c>
    </row>
    <row r="28" spans="2:21" x14ac:dyDescent="0.8">
      <c r="B28" s="134">
        <v>22</v>
      </c>
      <c r="C28" s="135" t="s">
        <v>395</v>
      </c>
      <c r="D28" s="136">
        <v>1</v>
      </c>
      <c r="E28" s="135">
        <v>4500</v>
      </c>
      <c r="F28" s="136">
        <v>1</v>
      </c>
      <c r="G28" s="146">
        <v>4500</v>
      </c>
      <c r="H28" s="136"/>
      <c r="I28" s="146"/>
      <c r="J28" s="136">
        <v>1</v>
      </c>
      <c r="K28" s="146">
        <v>4500</v>
      </c>
      <c r="L28" s="136">
        <v>1</v>
      </c>
      <c r="M28" s="146">
        <v>4500</v>
      </c>
      <c r="N28" s="136">
        <v>1</v>
      </c>
      <c r="O28" s="146">
        <v>4500</v>
      </c>
      <c r="P28" s="136">
        <v>1</v>
      </c>
      <c r="Q28" s="146">
        <v>4500</v>
      </c>
      <c r="R28" s="136">
        <f t="shared" si="3"/>
        <v>6</v>
      </c>
      <c r="S28" s="150">
        <f t="shared" si="4"/>
        <v>27000</v>
      </c>
      <c r="T28" s="137"/>
      <c r="U28" s="138">
        <f t="shared" si="2"/>
        <v>27000</v>
      </c>
    </row>
    <row r="29" spans="2:21" x14ac:dyDescent="0.8">
      <c r="B29" s="134">
        <v>23</v>
      </c>
      <c r="C29" s="135" t="s">
        <v>396</v>
      </c>
      <c r="D29" s="136">
        <v>1</v>
      </c>
      <c r="E29" s="135">
        <v>4500</v>
      </c>
      <c r="F29" s="136">
        <v>1</v>
      </c>
      <c r="G29" s="146">
        <v>4500</v>
      </c>
      <c r="H29" s="136"/>
      <c r="I29" s="146"/>
      <c r="J29" s="136">
        <v>1</v>
      </c>
      <c r="K29" s="146">
        <v>4500</v>
      </c>
      <c r="L29" s="136">
        <v>1</v>
      </c>
      <c r="M29" s="146">
        <v>4500</v>
      </c>
      <c r="N29" s="136">
        <v>1</v>
      </c>
      <c r="O29" s="146">
        <v>4500</v>
      </c>
      <c r="P29" s="136">
        <v>1</v>
      </c>
      <c r="Q29" s="146">
        <v>4500</v>
      </c>
      <c r="R29" s="136">
        <f t="shared" si="3"/>
        <v>6</v>
      </c>
      <c r="S29" s="150">
        <f t="shared" si="4"/>
        <v>27000</v>
      </c>
      <c r="T29" s="137"/>
      <c r="U29" s="138">
        <f t="shared" si="2"/>
        <v>27000</v>
      </c>
    </row>
    <row r="30" spans="2:21" x14ac:dyDescent="0.8">
      <c r="B30" s="134">
        <v>24</v>
      </c>
      <c r="C30" s="135" t="s">
        <v>397</v>
      </c>
      <c r="D30" s="136">
        <v>0</v>
      </c>
      <c r="E30" s="135">
        <v>0</v>
      </c>
      <c r="F30" s="136">
        <v>0</v>
      </c>
      <c r="G30" s="146">
        <v>0</v>
      </c>
      <c r="H30" s="136"/>
      <c r="I30" s="146"/>
      <c r="J30" s="136">
        <v>0</v>
      </c>
      <c r="K30" s="146">
        <v>0</v>
      </c>
      <c r="L30" s="136">
        <v>0</v>
      </c>
      <c r="M30" s="146">
        <v>0</v>
      </c>
      <c r="N30" s="136">
        <v>0</v>
      </c>
      <c r="O30" s="146">
        <v>0</v>
      </c>
      <c r="P30" s="136">
        <v>0</v>
      </c>
      <c r="Q30" s="146">
        <v>0</v>
      </c>
      <c r="R30" s="136">
        <f t="shared" si="3"/>
        <v>0</v>
      </c>
      <c r="S30" s="150">
        <f t="shared" si="4"/>
        <v>0</v>
      </c>
      <c r="T30" s="137"/>
      <c r="U30" s="138">
        <f t="shared" si="2"/>
        <v>0</v>
      </c>
    </row>
    <row r="31" spans="2:21" x14ac:dyDescent="0.8">
      <c r="B31" s="134">
        <v>25</v>
      </c>
      <c r="C31" s="135" t="s">
        <v>398</v>
      </c>
      <c r="D31" s="136">
        <v>0</v>
      </c>
      <c r="E31" s="135">
        <v>0</v>
      </c>
      <c r="F31" s="136">
        <v>0</v>
      </c>
      <c r="G31" s="146">
        <v>0</v>
      </c>
      <c r="H31" s="136"/>
      <c r="I31" s="146"/>
      <c r="J31" s="136">
        <v>0</v>
      </c>
      <c r="K31" s="146">
        <v>0</v>
      </c>
      <c r="L31" s="136">
        <v>0</v>
      </c>
      <c r="M31" s="146">
        <v>0</v>
      </c>
      <c r="N31" s="136">
        <v>0</v>
      </c>
      <c r="O31" s="146">
        <v>0</v>
      </c>
      <c r="P31" s="136">
        <v>0</v>
      </c>
      <c r="Q31" s="146">
        <v>0</v>
      </c>
      <c r="R31" s="136">
        <f t="shared" si="3"/>
        <v>0</v>
      </c>
      <c r="S31" s="150">
        <f t="shared" si="4"/>
        <v>0</v>
      </c>
      <c r="T31" s="137"/>
      <c r="U31" s="138">
        <f t="shared" si="2"/>
        <v>0</v>
      </c>
    </row>
    <row r="32" spans="2:21" x14ac:dyDescent="0.8">
      <c r="B32" s="134">
        <v>26</v>
      </c>
      <c r="C32" s="135" t="s">
        <v>399</v>
      </c>
      <c r="D32" s="136">
        <v>0</v>
      </c>
      <c r="E32" s="135">
        <v>0</v>
      </c>
      <c r="F32" s="136">
        <v>0</v>
      </c>
      <c r="G32" s="146">
        <v>0</v>
      </c>
      <c r="H32" s="136"/>
      <c r="I32" s="146"/>
      <c r="J32" s="136">
        <v>0</v>
      </c>
      <c r="K32" s="146">
        <v>0</v>
      </c>
      <c r="L32" s="136">
        <v>0</v>
      </c>
      <c r="M32" s="146">
        <v>0</v>
      </c>
      <c r="N32" s="136">
        <v>0</v>
      </c>
      <c r="O32" s="146"/>
      <c r="P32" s="136">
        <v>0</v>
      </c>
      <c r="Q32" s="146">
        <v>0</v>
      </c>
      <c r="R32" s="136">
        <f t="shared" si="3"/>
        <v>0</v>
      </c>
      <c r="S32" s="150">
        <f t="shared" si="4"/>
        <v>0</v>
      </c>
      <c r="T32" s="137"/>
      <c r="U32" s="138">
        <f t="shared" si="2"/>
        <v>0</v>
      </c>
    </row>
    <row r="33" spans="2:21" x14ac:dyDescent="0.8">
      <c r="B33" s="134">
        <v>27</v>
      </c>
      <c r="C33" s="135" t="s">
        <v>400</v>
      </c>
      <c r="D33" s="136">
        <v>1</v>
      </c>
      <c r="E33" s="135">
        <v>4500</v>
      </c>
      <c r="F33" s="136">
        <v>1</v>
      </c>
      <c r="G33" s="146">
        <v>4500</v>
      </c>
      <c r="H33" s="136"/>
      <c r="I33" s="146"/>
      <c r="J33" s="136">
        <v>0</v>
      </c>
      <c r="K33" s="146">
        <v>0</v>
      </c>
      <c r="L33" s="136">
        <v>0</v>
      </c>
      <c r="M33" s="146">
        <v>0</v>
      </c>
      <c r="N33" s="136">
        <v>0</v>
      </c>
      <c r="O33" s="146">
        <v>0</v>
      </c>
      <c r="P33" s="136">
        <v>0</v>
      </c>
      <c r="Q33" s="146">
        <v>0</v>
      </c>
      <c r="R33" s="136">
        <f t="shared" si="3"/>
        <v>2</v>
      </c>
      <c r="S33" s="150">
        <f t="shared" si="4"/>
        <v>9000</v>
      </c>
      <c r="T33" s="137"/>
      <c r="U33" s="138">
        <f t="shared" si="2"/>
        <v>9000</v>
      </c>
    </row>
    <row r="34" spans="2:21" x14ac:dyDescent="0.8">
      <c r="B34" s="134">
        <v>28</v>
      </c>
      <c r="C34" s="135" t="s">
        <v>401</v>
      </c>
      <c r="D34" s="136">
        <v>1</v>
      </c>
      <c r="E34" s="135">
        <v>4500</v>
      </c>
      <c r="F34" s="136">
        <v>1</v>
      </c>
      <c r="G34" s="146">
        <v>4500</v>
      </c>
      <c r="H34" s="136"/>
      <c r="I34" s="146"/>
      <c r="J34" s="136">
        <v>1</v>
      </c>
      <c r="K34" s="146">
        <v>4500</v>
      </c>
      <c r="L34" s="136">
        <v>1</v>
      </c>
      <c r="M34" s="146">
        <v>4500</v>
      </c>
      <c r="N34" s="136">
        <v>1</v>
      </c>
      <c r="O34" s="146">
        <v>4500</v>
      </c>
      <c r="P34" s="136">
        <v>1</v>
      </c>
      <c r="Q34" s="146">
        <v>4500</v>
      </c>
      <c r="R34" s="136">
        <f t="shared" si="3"/>
        <v>6</v>
      </c>
      <c r="S34" s="150">
        <f t="shared" si="4"/>
        <v>27000</v>
      </c>
      <c r="T34" s="137"/>
      <c r="U34" s="138">
        <f t="shared" si="2"/>
        <v>27000</v>
      </c>
    </row>
    <row r="35" spans="2:21" x14ac:dyDescent="0.8">
      <c r="B35" s="134">
        <v>29</v>
      </c>
      <c r="C35" s="135" t="s">
        <v>402</v>
      </c>
      <c r="D35" s="136">
        <v>1</v>
      </c>
      <c r="E35" s="135">
        <v>4500</v>
      </c>
      <c r="F35" s="136">
        <v>1</v>
      </c>
      <c r="G35" s="146">
        <v>4500</v>
      </c>
      <c r="H35" s="136"/>
      <c r="I35" s="146"/>
      <c r="J35" s="136">
        <v>1</v>
      </c>
      <c r="K35" s="146">
        <v>4500</v>
      </c>
      <c r="L35" s="136">
        <v>1</v>
      </c>
      <c r="M35" s="146">
        <v>4500</v>
      </c>
      <c r="N35" s="136">
        <v>1</v>
      </c>
      <c r="O35" s="146">
        <v>4500</v>
      </c>
      <c r="P35" s="136">
        <v>1</v>
      </c>
      <c r="Q35" s="146">
        <v>4500</v>
      </c>
      <c r="R35" s="136">
        <f t="shared" si="3"/>
        <v>6</v>
      </c>
      <c r="S35" s="150">
        <f t="shared" si="4"/>
        <v>27000</v>
      </c>
      <c r="T35" s="137"/>
      <c r="U35" s="138">
        <f t="shared" si="2"/>
        <v>27000</v>
      </c>
    </row>
    <row r="36" spans="2:21" x14ac:dyDescent="0.8">
      <c r="B36" s="134">
        <v>30</v>
      </c>
      <c r="C36" s="135" t="s">
        <v>403</v>
      </c>
      <c r="D36" s="136">
        <v>1</v>
      </c>
      <c r="E36" s="135">
        <v>4500</v>
      </c>
      <c r="F36" s="136">
        <v>0</v>
      </c>
      <c r="G36" s="146">
        <v>0</v>
      </c>
      <c r="H36" s="136"/>
      <c r="I36" s="146"/>
      <c r="J36" s="136">
        <v>0</v>
      </c>
      <c r="K36" s="146">
        <v>0</v>
      </c>
      <c r="L36" s="136">
        <v>0</v>
      </c>
      <c r="M36" s="146">
        <v>0</v>
      </c>
      <c r="N36" s="136">
        <v>0</v>
      </c>
      <c r="O36" s="146">
        <v>0</v>
      </c>
      <c r="P36" s="136">
        <v>0</v>
      </c>
      <c r="Q36" s="146">
        <v>0</v>
      </c>
      <c r="R36" s="136">
        <f t="shared" si="3"/>
        <v>1</v>
      </c>
      <c r="S36" s="150">
        <f t="shared" si="4"/>
        <v>4500</v>
      </c>
      <c r="T36" s="137"/>
      <c r="U36" s="138">
        <f t="shared" si="2"/>
        <v>4500</v>
      </c>
    </row>
    <row r="37" spans="2:21" x14ac:dyDescent="0.8">
      <c r="B37" s="134">
        <v>31</v>
      </c>
      <c r="C37" s="135" t="s">
        <v>404</v>
      </c>
      <c r="D37" s="136">
        <v>1</v>
      </c>
      <c r="E37" s="135">
        <v>4500</v>
      </c>
      <c r="F37" s="136">
        <v>1</v>
      </c>
      <c r="G37" s="146">
        <v>4500</v>
      </c>
      <c r="H37" s="136"/>
      <c r="I37" s="146"/>
      <c r="J37" s="136">
        <v>1</v>
      </c>
      <c r="K37" s="146">
        <v>4500</v>
      </c>
      <c r="L37" s="136">
        <v>1</v>
      </c>
      <c r="M37" s="146">
        <v>4500</v>
      </c>
      <c r="N37" s="136">
        <v>0.5</v>
      </c>
      <c r="O37" s="146">
        <v>2250</v>
      </c>
      <c r="P37" s="136">
        <v>1</v>
      </c>
      <c r="Q37" s="146">
        <v>4500</v>
      </c>
      <c r="R37" s="136">
        <f t="shared" si="3"/>
        <v>5.5</v>
      </c>
      <c r="S37" s="150">
        <f t="shared" si="4"/>
        <v>24750</v>
      </c>
      <c r="T37" s="137"/>
      <c r="U37" s="138">
        <f t="shared" si="2"/>
        <v>24750</v>
      </c>
    </row>
    <row r="38" spans="2:21" x14ac:dyDescent="0.8">
      <c r="B38" s="134">
        <v>32</v>
      </c>
      <c r="C38" s="135" t="s">
        <v>405</v>
      </c>
      <c r="D38" s="136">
        <v>0</v>
      </c>
      <c r="E38" s="135">
        <v>0</v>
      </c>
      <c r="F38" s="136">
        <v>0</v>
      </c>
      <c r="G38" s="146">
        <v>0</v>
      </c>
      <c r="H38" s="136"/>
      <c r="I38" s="146"/>
      <c r="J38" s="136">
        <v>0</v>
      </c>
      <c r="K38" s="146">
        <v>0</v>
      </c>
      <c r="L38" s="136">
        <v>0</v>
      </c>
      <c r="M38" s="146">
        <v>0</v>
      </c>
      <c r="N38" s="136">
        <v>0</v>
      </c>
      <c r="O38" s="146">
        <v>0</v>
      </c>
      <c r="P38" s="136">
        <v>0</v>
      </c>
      <c r="Q38" s="146">
        <v>0</v>
      </c>
      <c r="R38" s="136">
        <f t="shared" si="3"/>
        <v>0</v>
      </c>
      <c r="S38" s="150">
        <f t="shared" si="4"/>
        <v>0</v>
      </c>
      <c r="T38" s="137"/>
      <c r="U38" s="138">
        <f t="shared" si="2"/>
        <v>0</v>
      </c>
    </row>
    <row r="39" spans="2:21" x14ac:dyDescent="0.8">
      <c r="B39" s="134">
        <v>33</v>
      </c>
      <c r="C39" s="135" t="s">
        <v>447</v>
      </c>
      <c r="D39" s="136"/>
      <c r="E39" s="135"/>
      <c r="F39" s="136"/>
      <c r="G39" s="146"/>
      <c r="H39" s="136"/>
      <c r="I39" s="146"/>
      <c r="J39" s="136">
        <v>1</v>
      </c>
      <c r="K39" s="146">
        <v>4500</v>
      </c>
      <c r="L39" s="136">
        <v>1</v>
      </c>
      <c r="M39" s="146">
        <v>4500</v>
      </c>
      <c r="N39" s="136">
        <v>1</v>
      </c>
      <c r="O39" s="146">
        <v>4500</v>
      </c>
      <c r="P39" s="136">
        <v>1</v>
      </c>
      <c r="Q39" s="146">
        <v>4500</v>
      </c>
      <c r="R39" s="136">
        <f t="shared" si="3"/>
        <v>4</v>
      </c>
      <c r="S39" s="150">
        <f t="shared" si="4"/>
        <v>18000</v>
      </c>
      <c r="T39" s="137"/>
      <c r="U39" s="138">
        <f t="shared" si="2"/>
        <v>18000</v>
      </c>
    </row>
    <row r="40" spans="2:21" x14ac:dyDescent="0.8">
      <c r="B40" s="134">
        <v>34</v>
      </c>
      <c r="C40" s="135"/>
      <c r="D40" s="136"/>
      <c r="E40" s="135"/>
      <c r="F40" s="136"/>
      <c r="G40" s="146"/>
      <c r="H40" s="136"/>
      <c r="I40" s="146"/>
      <c r="J40" s="136"/>
      <c r="K40" s="146"/>
      <c r="L40" s="136"/>
      <c r="M40" s="146"/>
      <c r="N40" s="136"/>
      <c r="O40" s="146"/>
      <c r="P40" s="136"/>
      <c r="Q40" s="146"/>
      <c r="R40" s="136">
        <f t="shared" si="3"/>
        <v>0</v>
      </c>
      <c r="S40" s="150">
        <f t="shared" si="4"/>
        <v>0</v>
      </c>
      <c r="T40" s="137"/>
      <c r="U40" s="138">
        <f t="shared" si="2"/>
        <v>0</v>
      </c>
    </row>
    <row r="41" spans="2:21" x14ac:dyDescent="0.8">
      <c r="B41" s="134">
        <v>35</v>
      </c>
      <c r="C41" s="135"/>
      <c r="D41" s="136"/>
      <c r="E41" s="135"/>
      <c r="F41" s="136"/>
      <c r="G41" s="146"/>
      <c r="H41" s="136"/>
      <c r="I41" s="146"/>
      <c r="J41" s="136"/>
      <c r="K41" s="146"/>
      <c r="L41" s="136"/>
      <c r="M41" s="146"/>
      <c r="N41" s="136"/>
      <c r="O41" s="146"/>
      <c r="P41" s="136"/>
      <c r="Q41" s="146"/>
      <c r="R41" s="136">
        <f t="shared" si="3"/>
        <v>0</v>
      </c>
      <c r="S41" s="150">
        <f t="shared" si="4"/>
        <v>0</v>
      </c>
      <c r="T41" s="137"/>
      <c r="U41" s="138">
        <f t="shared" si="2"/>
        <v>0</v>
      </c>
    </row>
    <row r="42" spans="2:21" x14ac:dyDescent="0.8">
      <c r="B42" s="134">
        <v>36</v>
      </c>
      <c r="C42" s="135"/>
      <c r="D42" s="136"/>
      <c r="E42" s="135"/>
      <c r="F42" s="136"/>
      <c r="G42" s="146"/>
      <c r="H42" s="136"/>
      <c r="I42" s="146"/>
      <c r="J42" s="136"/>
      <c r="K42" s="146"/>
      <c r="L42" s="136"/>
      <c r="M42" s="146"/>
      <c r="N42" s="136"/>
      <c r="O42" s="146"/>
      <c r="P42" s="136"/>
      <c r="Q42" s="146"/>
      <c r="R42" s="136">
        <f t="shared" si="3"/>
        <v>0</v>
      </c>
      <c r="S42" s="150">
        <f t="shared" si="4"/>
        <v>0</v>
      </c>
      <c r="T42" s="137"/>
      <c r="U42" s="138">
        <f t="shared" si="2"/>
        <v>0</v>
      </c>
    </row>
    <row r="43" spans="2:21" x14ac:dyDescent="0.8">
      <c r="B43" s="134">
        <v>37</v>
      </c>
      <c r="C43" s="135"/>
      <c r="D43" s="136"/>
      <c r="E43" s="135"/>
      <c r="F43" s="136"/>
      <c r="G43" s="146"/>
      <c r="H43" s="136"/>
      <c r="I43" s="146"/>
      <c r="J43" s="136"/>
      <c r="K43" s="146"/>
      <c r="L43" s="136"/>
      <c r="M43" s="146"/>
      <c r="N43" s="136"/>
      <c r="O43" s="146"/>
      <c r="P43" s="136"/>
      <c r="Q43" s="146"/>
      <c r="R43" s="136">
        <f t="shared" si="3"/>
        <v>0</v>
      </c>
      <c r="S43" s="150">
        <f t="shared" si="4"/>
        <v>0</v>
      </c>
      <c r="T43" s="137"/>
      <c r="U43" s="138">
        <f t="shared" si="2"/>
        <v>0</v>
      </c>
    </row>
    <row r="44" spans="2:21" x14ac:dyDescent="0.8">
      <c r="B44" s="134">
        <v>38</v>
      </c>
      <c r="C44" s="135"/>
      <c r="D44" s="136"/>
      <c r="E44" s="135"/>
      <c r="F44" s="136"/>
      <c r="G44" s="146"/>
      <c r="H44" s="136"/>
      <c r="I44" s="146"/>
      <c r="J44" s="136"/>
      <c r="K44" s="146"/>
      <c r="L44" s="136"/>
      <c r="M44" s="146"/>
      <c r="N44" s="136"/>
      <c r="O44" s="146"/>
      <c r="P44" s="136"/>
      <c r="Q44" s="146"/>
      <c r="R44" s="136">
        <f t="shared" si="3"/>
        <v>0</v>
      </c>
      <c r="S44" s="150">
        <f t="shared" si="4"/>
        <v>0</v>
      </c>
      <c r="T44" s="137"/>
      <c r="U44" s="138">
        <f t="shared" si="2"/>
        <v>0</v>
      </c>
    </row>
    <row r="45" spans="2:21" x14ac:dyDescent="0.8">
      <c r="B45" s="134">
        <v>39</v>
      </c>
      <c r="C45" s="135"/>
      <c r="D45" s="136"/>
      <c r="E45" s="135"/>
      <c r="F45" s="136"/>
      <c r="G45" s="146"/>
      <c r="H45" s="136"/>
      <c r="I45" s="146"/>
      <c r="J45" s="136"/>
      <c r="K45" s="146"/>
      <c r="L45" s="136"/>
      <c r="M45" s="146"/>
      <c r="N45" s="136"/>
      <c r="O45" s="146"/>
      <c r="P45" s="136"/>
      <c r="Q45" s="146"/>
      <c r="R45" s="136">
        <f t="shared" si="3"/>
        <v>0</v>
      </c>
      <c r="S45" s="150">
        <f t="shared" si="4"/>
        <v>0</v>
      </c>
      <c r="T45" s="137"/>
      <c r="U45" s="138">
        <f t="shared" si="2"/>
        <v>0</v>
      </c>
    </row>
    <row r="46" spans="2:21" x14ac:dyDescent="0.8">
      <c r="B46" s="134">
        <v>40</v>
      </c>
      <c r="C46" s="135"/>
      <c r="D46" s="136"/>
      <c r="E46" s="135"/>
      <c r="F46" s="136"/>
      <c r="G46" s="146"/>
      <c r="H46" s="136"/>
      <c r="I46" s="146"/>
      <c r="J46" s="136"/>
      <c r="K46" s="146"/>
      <c r="L46" s="136"/>
      <c r="M46" s="146"/>
      <c r="N46" s="136"/>
      <c r="O46" s="146"/>
      <c r="P46" s="136"/>
      <c r="Q46" s="146"/>
      <c r="R46" s="136">
        <f t="shared" si="3"/>
        <v>0</v>
      </c>
      <c r="S46" s="150">
        <f t="shared" si="4"/>
        <v>0</v>
      </c>
      <c r="T46" s="137"/>
      <c r="U46" s="138">
        <f t="shared" si="2"/>
        <v>0</v>
      </c>
    </row>
    <row r="47" spans="2:21" x14ac:dyDescent="0.8">
      <c r="B47" s="134">
        <v>41</v>
      </c>
      <c r="C47" s="135"/>
      <c r="D47" s="136"/>
      <c r="E47" s="135"/>
      <c r="F47" s="136"/>
      <c r="G47" s="146"/>
      <c r="H47" s="136"/>
      <c r="I47" s="146"/>
      <c r="J47" s="136"/>
      <c r="K47" s="146"/>
      <c r="L47" s="136"/>
      <c r="M47" s="146"/>
      <c r="N47" s="136"/>
      <c r="O47" s="146"/>
      <c r="P47" s="136"/>
      <c r="Q47" s="146"/>
      <c r="R47" s="136">
        <f t="shared" si="3"/>
        <v>0</v>
      </c>
      <c r="S47" s="150">
        <f t="shared" si="4"/>
        <v>0</v>
      </c>
      <c r="T47" s="137"/>
      <c r="U47" s="138">
        <f t="shared" si="2"/>
        <v>0</v>
      </c>
    </row>
    <row r="48" spans="2:21" x14ac:dyDescent="0.8">
      <c r="B48" s="134">
        <v>42</v>
      </c>
      <c r="C48" s="135"/>
      <c r="D48" s="136"/>
      <c r="E48" s="135"/>
      <c r="F48" s="136"/>
      <c r="G48" s="146"/>
      <c r="H48" s="136"/>
      <c r="I48" s="146"/>
      <c r="J48" s="136"/>
      <c r="K48" s="146"/>
      <c r="L48" s="136"/>
      <c r="M48" s="146"/>
      <c r="N48" s="136"/>
      <c r="O48" s="146"/>
      <c r="P48" s="136"/>
      <c r="Q48" s="146"/>
      <c r="R48" s="136">
        <f t="shared" si="3"/>
        <v>0</v>
      </c>
      <c r="S48" s="150">
        <f t="shared" si="4"/>
        <v>0</v>
      </c>
      <c r="T48" s="137"/>
      <c r="U48" s="138">
        <f t="shared" si="2"/>
        <v>0</v>
      </c>
    </row>
    <row r="49" spans="2:21" x14ac:dyDescent="0.8">
      <c r="B49" s="134">
        <v>43</v>
      </c>
      <c r="C49" s="135"/>
      <c r="D49" s="136"/>
      <c r="E49" s="135"/>
      <c r="F49" s="136"/>
      <c r="G49" s="146"/>
      <c r="H49" s="136"/>
      <c r="I49" s="146"/>
      <c r="J49" s="136"/>
      <c r="K49" s="146"/>
      <c r="L49" s="136"/>
      <c r="M49" s="146"/>
      <c r="N49" s="136"/>
      <c r="O49" s="146"/>
      <c r="P49" s="136"/>
      <c r="Q49" s="146"/>
      <c r="R49" s="136">
        <f t="shared" si="3"/>
        <v>0</v>
      </c>
      <c r="S49" s="150">
        <f t="shared" si="4"/>
        <v>0</v>
      </c>
      <c r="T49" s="137"/>
      <c r="U49" s="138">
        <f t="shared" si="2"/>
        <v>0</v>
      </c>
    </row>
    <row r="50" spans="2:21" x14ac:dyDescent="0.8">
      <c r="B50" s="134">
        <v>44</v>
      </c>
      <c r="C50" s="135"/>
      <c r="D50" s="136"/>
      <c r="E50" s="135"/>
      <c r="F50" s="136"/>
      <c r="G50" s="146"/>
      <c r="H50" s="136"/>
      <c r="I50" s="146"/>
      <c r="J50" s="136"/>
      <c r="K50" s="146"/>
      <c r="L50" s="136"/>
      <c r="M50" s="146"/>
      <c r="N50" s="136"/>
      <c r="O50" s="146"/>
      <c r="P50" s="136"/>
      <c r="Q50" s="146"/>
      <c r="R50" s="136">
        <f t="shared" si="3"/>
        <v>0</v>
      </c>
      <c r="S50" s="150">
        <f t="shared" si="4"/>
        <v>0</v>
      </c>
      <c r="T50" s="137"/>
      <c r="U50" s="138">
        <f t="shared" si="2"/>
        <v>0</v>
      </c>
    </row>
    <row r="51" spans="2:21" x14ac:dyDescent="0.8">
      <c r="B51" s="134">
        <v>45</v>
      </c>
      <c r="C51" s="135"/>
      <c r="D51" s="136"/>
      <c r="E51" s="135"/>
      <c r="F51" s="136"/>
      <c r="G51" s="146"/>
      <c r="H51" s="136"/>
      <c r="I51" s="146"/>
      <c r="J51" s="136"/>
      <c r="K51" s="146"/>
      <c r="L51" s="136"/>
      <c r="M51" s="146"/>
      <c r="N51" s="136"/>
      <c r="O51" s="146"/>
      <c r="P51" s="136"/>
      <c r="Q51" s="146"/>
      <c r="R51" s="136">
        <f t="shared" si="3"/>
        <v>0</v>
      </c>
      <c r="S51" s="150">
        <f t="shared" si="4"/>
        <v>0</v>
      </c>
      <c r="T51" s="137"/>
      <c r="U51" s="138">
        <f t="shared" si="2"/>
        <v>0</v>
      </c>
    </row>
    <row r="52" spans="2:21" x14ac:dyDescent="0.8">
      <c r="B52" s="134">
        <v>46</v>
      </c>
      <c r="C52" s="135"/>
      <c r="D52" s="136"/>
      <c r="E52" s="135"/>
      <c r="F52" s="136"/>
      <c r="G52" s="146"/>
      <c r="H52" s="136"/>
      <c r="I52" s="146"/>
      <c r="J52" s="136"/>
      <c r="K52" s="146"/>
      <c r="L52" s="136"/>
      <c r="M52" s="146"/>
      <c r="N52" s="136"/>
      <c r="O52" s="146"/>
      <c r="P52" s="136"/>
      <c r="Q52" s="146"/>
      <c r="R52" s="136">
        <f t="shared" si="3"/>
        <v>0</v>
      </c>
      <c r="S52" s="150">
        <f t="shared" si="4"/>
        <v>0</v>
      </c>
      <c r="T52" s="137"/>
      <c r="U52" s="138">
        <f t="shared" si="2"/>
        <v>0</v>
      </c>
    </row>
    <row r="53" spans="2:21" x14ac:dyDescent="0.8">
      <c r="B53" s="134">
        <v>47</v>
      </c>
      <c r="C53" s="135"/>
      <c r="D53" s="136"/>
      <c r="E53" s="135"/>
      <c r="F53" s="136"/>
      <c r="G53" s="146"/>
      <c r="H53" s="136"/>
      <c r="I53" s="146"/>
      <c r="J53" s="136"/>
      <c r="K53" s="146"/>
      <c r="L53" s="136"/>
      <c r="M53" s="146"/>
      <c r="N53" s="136"/>
      <c r="O53" s="146"/>
      <c r="P53" s="136"/>
      <c r="Q53" s="146"/>
      <c r="R53" s="136">
        <f t="shared" si="0"/>
        <v>0</v>
      </c>
      <c r="S53" s="150">
        <f t="shared" si="1"/>
        <v>0</v>
      </c>
      <c r="T53" s="137"/>
      <c r="U53" s="138">
        <f t="shared" si="2"/>
        <v>0</v>
      </c>
    </row>
    <row r="54" spans="2:21" x14ac:dyDescent="0.8">
      <c r="B54" s="134">
        <v>48</v>
      </c>
      <c r="C54" s="135"/>
      <c r="D54" s="136"/>
      <c r="E54" s="135"/>
      <c r="F54" s="136"/>
      <c r="G54" s="146"/>
      <c r="H54" s="136"/>
      <c r="I54" s="146"/>
      <c r="J54" s="136"/>
      <c r="K54" s="146"/>
      <c r="L54" s="136"/>
      <c r="M54" s="146"/>
      <c r="N54" s="136"/>
      <c r="O54" s="146"/>
      <c r="P54" s="136"/>
      <c r="Q54" s="146"/>
      <c r="R54" s="136">
        <f t="shared" si="0"/>
        <v>0</v>
      </c>
      <c r="S54" s="150">
        <f t="shared" si="1"/>
        <v>0</v>
      </c>
      <c r="T54" s="137"/>
      <c r="U54" s="138">
        <f t="shared" si="2"/>
        <v>0</v>
      </c>
    </row>
    <row r="55" spans="2:21" x14ac:dyDescent="0.8">
      <c r="B55" s="134">
        <v>49</v>
      </c>
      <c r="C55" s="135"/>
      <c r="D55" s="136"/>
      <c r="E55" s="135"/>
      <c r="F55" s="136"/>
      <c r="G55" s="146"/>
      <c r="H55" s="136"/>
      <c r="I55" s="146"/>
      <c r="J55" s="136"/>
      <c r="K55" s="146"/>
      <c r="L55" s="136"/>
      <c r="M55" s="146"/>
      <c r="N55" s="136"/>
      <c r="O55" s="146"/>
      <c r="P55" s="136"/>
      <c r="Q55" s="146"/>
      <c r="R55" s="136">
        <f t="shared" si="0"/>
        <v>0</v>
      </c>
      <c r="S55" s="150">
        <f t="shared" si="1"/>
        <v>0</v>
      </c>
      <c r="T55" s="137"/>
      <c r="U55" s="138">
        <f t="shared" si="2"/>
        <v>0</v>
      </c>
    </row>
    <row r="56" spans="2:21" x14ac:dyDescent="0.8">
      <c r="B56" s="134">
        <v>50</v>
      </c>
      <c r="C56" s="135"/>
      <c r="D56" s="136"/>
      <c r="E56" s="135"/>
      <c r="F56" s="136"/>
      <c r="G56" s="146"/>
      <c r="H56" s="136"/>
      <c r="I56" s="146"/>
      <c r="J56" s="136"/>
      <c r="K56" s="146"/>
      <c r="L56" s="136"/>
      <c r="M56" s="146"/>
      <c r="N56" s="136"/>
      <c r="O56" s="146"/>
      <c r="P56" s="136"/>
      <c r="Q56" s="146"/>
      <c r="R56" s="136">
        <f t="shared" si="0"/>
        <v>0</v>
      </c>
      <c r="S56" s="150">
        <f t="shared" si="1"/>
        <v>0</v>
      </c>
      <c r="T56" s="137"/>
      <c r="U56" s="138">
        <f t="shared" si="2"/>
        <v>0</v>
      </c>
    </row>
    <row r="57" spans="2:21" ht="25.2" thickBot="1" x14ac:dyDescent="0.85">
      <c r="B57" s="134">
        <v>51</v>
      </c>
      <c r="C57" s="135"/>
      <c r="D57" s="136"/>
      <c r="E57" s="135"/>
      <c r="F57" s="136"/>
      <c r="G57" s="146"/>
      <c r="H57" s="136"/>
      <c r="I57" s="146"/>
      <c r="J57" s="136"/>
      <c r="K57" s="146"/>
      <c r="L57" s="136"/>
      <c r="M57" s="146"/>
      <c r="N57" s="136"/>
      <c r="O57" s="146"/>
      <c r="P57" s="136"/>
      <c r="Q57" s="146"/>
      <c r="R57" s="136">
        <f t="shared" si="0"/>
        <v>0</v>
      </c>
      <c r="S57" s="150">
        <f>+SUM(E57,G57,I57,K57,M57,O57,Q57)</f>
        <v>0</v>
      </c>
      <c r="T57" s="137"/>
      <c r="U57" s="138">
        <f t="shared" si="2"/>
        <v>0</v>
      </c>
    </row>
    <row r="58" spans="2:21" ht="25.8" thickTop="1" thickBot="1" x14ac:dyDescent="0.9">
      <c r="B58" s="139" t="s">
        <v>360</v>
      </c>
      <c r="C58" s="140"/>
      <c r="D58" s="141">
        <f>SUM(D7:D57)</f>
        <v>23</v>
      </c>
      <c r="E58" s="142">
        <f t="shared" ref="E58:Q58" si="5">SUM(E7:E57)</f>
        <v>103500</v>
      </c>
      <c r="F58" s="141">
        <f t="shared" si="5"/>
        <v>20</v>
      </c>
      <c r="G58" s="147">
        <f t="shared" si="5"/>
        <v>90000</v>
      </c>
      <c r="H58" s="141">
        <f t="shared" si="5"/>
        <v>0</v>
      </c>
      <c r="I58" s="147">
        <f t="shared" si="5"/>
        <v>0</v>
      </c>
      <c r="J58" s="141">
        <f t="shared" si="5"/>
        <v>22</v>
      </c>
      <c r="K58" s="147">
        <f t="shared" si="5"/>
        <v>99000</v>
      </c>
      <c r="L58" s="141">
        <f t="shared" si="5"/>
        <v>22</v>
      </c>
      <c r="M58" s="147">
        <f t="shared" si="5"/>
        <v>99000</v>
      </c>
      <c r="N58" s="141">
        <f t="shared" si="5"/>
        <v>22.5</v>
      </c>
      <c r="O58" s="147">
        <f t="shared" si="5"/>
        <v>101250</v>
      </c>
      <c r="P58" s="141">
        <f t="shared" si="5"/>
        <v>20</v>
      </c>
      <c r="Q58" s="147">
        <f t="shared" si="5"/>
        <v>90000</v>
      </c>
      <c r="R58" s="141">
        <f>+SUM(P58,N58,L58,J58,H58,F58,D58)</f>
        <v>129.5</v>
      </c>
      <c r="S58" s="151">
        <f>+SUM(E58,G58,I58,K58,M58,O58,Q58)</f>
        <v>582750</v>
      </c>
      <c r="T58" s="143">
        <f>SUBTOTAL(109,MACONS!$T$7:$T$30)</f>
        <v>0</v>
      </c>
      <c r="U58" s="144">
        <f>SUBTOTAL(109,MACONS!$U$7:$U$30)</f>
        <v>197500</v>
      </c>
    </row>
    <row r="60" spans="2:21" x14ac:dyDescent="0.8">
      <c r="P60" s="96" t="s">
        <v>361</v>
      </c>
      <c r="R60" s="125">
        <f>+MACONS!$R$31-SUM('SUIVI HEBDOMADAIRE PAIE'!D7,'SUIVI HEBDOMADAIRE PAIE'!F7,'SUIVI HEBDOMADAIRE PAIE'!H7,'SUIVI HEBDOMADAIRE PAIE'!J7,'SUIVI HEBDOMADAIRE PAIE'!L7,'SUIVI HEBDOMADAIRE PAIE'!N7,'SUIVI HEBDOMADAIRE PAIE'!P7)</f>
        <v>0</v>
      </c>
      <c r="S60"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2:U60"/>
  <sheetViews>
    <sheetView showGridLines="0" topLeftCell="A2" zoomScale="50" zoomScaleNormal="50" workbookViewId="0">
      <pane xSplit="3" ySplit="5" topLeftCell="H8" activePane="bottomRight" state="frozen"/>
      <selection activeCell="K33" sqref="K33"/>
      <selection pane="topRight" activeCell="K33" sqref="K33"/>
      <selection pane="bottomLeft" activeCell="K33" sqref="K33"/>
      <selection pane="bottomRight" activeCell="O33" sqref="O32:O33"/>
    </sheetView>
  </sheetViews>
  <sheetFormatPr baseColWidth="10" defaultColWidth="11.578125" defaultRowHeight="24.9" x14ac:dyDescent="0.8"/>
  <cols>
    <col min="1" max="2" width="11.578125" style="96"/>
    <col min="3" max="3" width="58.15625" style="96" customWidth="1"/>
    <col min="4" max="4" width="16.68359375" style="96" customWidth="1"/>
    <col min="5" max="5" width="23.578125" style="96" customWidth="1"/>
    <col min="6" max="6" width="16.68359375" style="96" customWidth="1"/>
    <col min="7" max="7" width="23.578125" style="96" customWidth="1"/>
    <col min="8" max="8" width="16.68359375" style="96" customWidth="1"/>
    <col min="9" max="9" width="23.578125" style="96" customWidth="1"/>
    <col min="10" max="10" width="16.68359375" style="96" customWidth="1"/>
    <col min="11" max="11" width="23.578125" style="96" customWidth="1"/>
    <col min="12" max="12" width="16.68359375" style="96" customWidth="1"/>
    <col min="13" max="13" width="23.578125" style="96" customWidth="1"/>
    <col min="14" max="14" width="16.68359375" style="96" customWidth="1"/>
    <col min="15" max="15" width="23.578125" style="96" customWidth="1"/>
    <col min="16" max="16" width="16.68359375" style="96" customWidth="1"/>
    <col min="17" max="17" width="23.578125" style="96" customWidth="1"/>
    <col min="18" max="19" width="28" style="96" customWidth="1"/>
    <col min="20" max="20" width="23.578125" style="96" customWidth="1"/>
    <col min="21" max="21" width="25.41796875" style="96" customWidth="1"/>
    <col min="22" max="16384" width="11.578125" style="96"/>
  </cols>
  <sheetData>
    <row r="2" spans="2:21" ht="25.2" thickBot="1" x14ac:dyDescent="0.85"/>
    <row r="3" spans="2:21" ht="39" customHeight="1" thickBot="1" x14ac:dyDescent="0.85">
      <c r="B3" s="198" t="s">
        <v>455</v>
      </c>
      <c r="C3" s="199"/>
      <c r="D3" s="199"/>
      <c r="E3" s="199"/>
      <c r="F3" s="199"/>
      <c r="G3" s="199"/>
      <c r="H3" s="199"/>
      <c r="I3" s="199"/>
      <c r="J3" s="199"/>
      <c r="K3" s="199"/>
      <c r="L3" s="199"/>
      <c r="M3" s="199"/>
      <c r="N3" s="199"/>
      <c r="O3" s="199"/>
      <c r="P3" s="199"/>
      <c r="Q3" s="199"/>
      <c r="R3" s="199"/>
      <c r="S3" s="199"/>
      <c r="T3" s="199"/>
      <c r="U3" s="200"/>
    </row>
    <row r="4" spans="2:21" ht="25.2" thickBot="1" x14ac:dyDescent="0.85"/>
    <row r="5" spans="2:21" ht="25.2" x14ac:dyDescent="0.85">
      <c r="B5" s="203" t="s">
        <v>359</v>
      </c>
      <c r="C5" s="205" t="s">
        <v>356</v>
      </c>
      <c r="D5" s="201" t="s">
        <v>347</v>
      </c>
      <c r="E5" s="202"/>
      <c r="F5" s="201" t="s">
        <v>348</v>
      </c>
      <c r="G5" s="202"/>
      <c r="H5" s="201" t="s">
        <v>357</v>
      </c>
      <c r="I5" s="202"/>
      <c r="J5" s="201" t="s">
        <v>355</v>
      </c>
      <c r="K5" s="202"/>
      <c r="L5" s="201" t="s">
        <v>344</v>
      </c>
      <c r="M5" s="202"/>
      <c r="N5" s="201" t="s">
        <v>345</v>
      </c>
      <c r="O5" s="202"/>
      <c r="P5" s="201" t="s">
        <v>358</v>
      </c>
      <c r="Q5" s="202"/>
      <c r="R5" s="201" t="s">
        <v>328</v>
      </c>
      <c r="S5" s="202"/>
      <c r="T5" s="207" t="s">
        <v>366</v>
      </c>
      <c r="U5" s="203" t="s">
        <v>367</v>
      </c>
    </row>
    <row r="6" spans="2:21" s="110" customFormat="1" ht="48.6" customHeight="1" x14ac:dyDescent="0.55000000000000004">
      <c r="B6" s="204"/>
      <c r="C6" s="206"/>
      <c r="D6" s="149" t="s">
        <v>370</v>
      </c>
      <c r="E6" s="148" t="s">
        <v>371</v>
      </c>
      <c r="F6" s="149" t="s">
        <v>370</v>
      </c>
      <c r="G6" s="148" t="s">
        <v>371</v>
      </c>
      <c r="H6" s="149" t="s">
        <v>370</v>
      </c>
      <c r="I6" s="148" t="s">
        <v>371</v>
      </c>
      <c r="J6" s="149" t="s">
        <v>370</v>
      </c>
      <c r="K6" s="148" t="s">
        <v>371</v>
      </c>
      <c r="L6" s="149" t="s">
        <v>370</v>
      </c>
      <c r="M6" s="148" t="s">
        <v>371</v>
      </c>
      <c r="N6" s="149" t="s">
        <v>370</v>
      </c>
      <c r="O6" s="148" t="s">
        <v>371</v>
      </c>
      <c r="P6" s="149" t="s">
        <v>370</v>
      </c>
      <c r="Q6" s="148" t="s">
        <v>371</v>
      </c>
      <c r="R6" s="133" t="s">
        <v>370</v>
      </c>
      <c r="S6" s="145" t="s">
        <v>342</v>
      </c>
      <c r="T6" s="208"/>
      <c r="U6" s="204"/>
    </row>
    <row r="7" spans="2:21" x14ac:dyDescent="0.8">
      <c r="B7" s="134">
        <v>1</v>
      </c>
      <c r="C7" s="135" t="s">
        <v>444</v>
      </c>
      <c r="D7" s="136"/>
      <c r="E7" s="135"/>
      <c r="F7" s="136"/>
      <c r="G7" s="150">
        <v>646.875</v>
      </c>
      <c r="H7" s="136"/>
      <c r="I7" s="146"/>
      <c r="J7" s="136"/>
      <c r="K7" s="146"/>
      <c r="L7" s="136"/>
      <c r="M7" s="146"/>
      <c r="N7" s="136"/>
      <c r="O7" s="146"/>
      <c r="P7" s="136"/>
      <c r="Q7" s="146"/>
      <c r="R7" s="136">
        <f>+SUM(P7,N7,L7,J7,H7,F7,D7)</f>
        <v>0</v>
      </c>
      <c r="S7" s="146">
        <f>+SUM(E7,G7,I7,K7,M7,O7,Q7)</f>
        <v>646.875</v>
      </c>
      <c r="T7" s="137"/>
      <c r="U7" s="138">
        <f>+S7-T7</f>
        <v>646.875</v>
      </c>
    </row>
    <row r="8" spans="2:21" x14ac:dyDescent="0.8">
      <c r="B8" s="134">
        <v>2</v>
      </c>
      <c r="C8" s="135" t="s">
        <v>376</v>
      </c>
      <c r="D8" s="136"/>
      <c r="E8" s="135"/>
      <c r="F8" s="136"/>
      <c r="G8" s="150">
        <v>646.875</v>
      </c>
      <c r="H8" s="136"/>
      <c r="I8" s="146"/>
      <c r="J8" s="136"/>
      <c r="K8" s="146"/>
      <c r="L8" s="136"/>
      <c r="M8" s="146"/>
      <c r="N8" s="136"/>
      <c r="O8" s="146"/>
      <c r="P8" s="136"/>
      <c r="Q8" s="146"/>
      <c r="R8" s="136">
        <f t="shared" ref="R8:R57" si="0">+SUM(P8,N8,L8,J8,H8,F8,D8)</f>
        <v>0</v>
      </c>
      <c r="S8" s="150">
        <f t="shared" ref="S8:S56" si="1">+SUM(E8,G8,I8,K8,M8,O8,Q8)</f>
        <v>646.875</v>
      </c>
      <c r="T8" s="137"/>
      <c r="U8" s="138">
        <f t="shared" ref="U8:U57" si="2">+S8-T8</f>
        <v>646.875</v>
      </c>
    </row>
    <row r="9" spans="2:21" x14ac:dyDescent="0.8">
      <c r="B9" s="134">
        <v>3</v>
      </c>
      <c r="C9" s="135" t="s">
        <v>380</v>
      </c>
      <c r="D9" s="136"/>
      <c r="E9" s="135"/>
      <c r="F9" s="136"/>
      <c r="G9" s="150">
        <v>646.875</v>
      </c>
      <c r="H9" s="136"/>
      <c r="I9" s="146"/>
      <c r="J9" s="136"/>
      <c r="K9" s="146"/>
      <c r="L9" s="136"/>
      <c r="M9" s="146"/>
      <c r="N9" s="136"/>
      <c r="O9" s="146"/>
      <c r="P9" s="136"/>
      <c r="Q9" s="146"/>
      <c r="R9" s="136">
        <f t="shared" si="0"/>
        <v>0</v>
      </c>
      <c r="S9" s="150">
        <f t="shared" si="1"/>
        <v>646.875</v>
      </c>
      <c r="T9" s="137"/>
      <c r="U9" s="138">
        <f t="shared" si="2"/>
        <v>646.875</v>
      </c>
    </row>
    <row r="10" spans="2:21" x14ac:dyDescent="0.8">
      <c r="B10" s="134">
        <v>4</v>
      </c>
      <c r="C10" s="135" t="s">
        <v>445</v>
      </c>
      <c r="D10" s="136"/>
      <c r="E10" s="135"/>
      <c r="F10" s="136"/>
      <c r="G10" s="150">
        <v>1221.875</v>
      </c>
      <c r="H10" s="136"/>
      <c r="I10" s="146"/>
      <c r="J10" s="136"/>
      <c r="K10" s="146"/>
      <c r="L10" s="136"/>
      <c r="M10" s="146"/>
      <c r="N10" s="136"/>
      <c r="O10" s="146"/>
      <c r="P10" s="136"/>
      <c r="Q10" s="146"/>
      <c r="R10" s="136">
        <f t="shared" si="0"/>
        <v>0</v>
      </c>
      <c r="S10" s="150">
        <f t="shared" si="1"/>
        <v>1221.875</v>
      </c>
      <c r="T10" s="137"/>
      <c r="U10" s="138">
        <f t="shared" si="2"/>
        <v>1221.875</v>
      </c>
    </row>
    <row r="11" spans="2:21" x14ac:dyDescent="0.8">
      <c r="B11" s="134">
        <v>5</v>
      </c>
      <c r="C11" s="135" t="s">
        <v>426</v>
      </c>
      <c r="D11" s="136"/>
      <c r="E11" s="135"/>
      <c r="F11" s="136"/>
      <c r="G11" s="150">
        <v>1078.125</v>
      </c>
      <c r="H11" s="136"/>
      <c r="I11" s="146"/>
      <c r="J11" s="136"/>
      <c r="K11" s="146"/>
      <c r="L11" s="136"/>
      <c r="M11" s="146"/>
      <c r="N11" s="136"/>
      <c r="O11" s="146"/>
      <c r="P11" s="136"/>
      <c r="Q11" s="146"/>
      <c r="R11" s="136">
        <f t="shared" si="0"/>
        <v>0</v>
      </c>
      <c r="S11" s="150">
        <f t="shared" si="1"/>
        <v>1078.125</v>
      </c>
      <c r="T11" s="137"/>
      <c r="U11" s="138">
        <f t="shared" si="2"/>
        <v>1078.125</v>
      </c>
    </row>
    <row r="12" spans="2:21" x14ac:dyDescent="0.8">
      <c r="B12" s="134">
        <v>6</v>
      </c>
      <c r="C12" s="135" t="s">
        <v>443</v>
      </c>
      <c r="D12" s="136"/>
      <c r="E12" s="135"/>
      <c r="F12" s="136"/>
      <c r="G12" s="150">
        <v>1078.125</v>
      </c>
      <c r="H12" s="136"/>
      <c r="I12" s="146"/>
      <c r="J12" s="136"/>
      <c r="K12" s="146"/>
      <c r="L12" s="136"/>
      <c r="M12" s="146"/>
      <c r="N12" s="136"/>
      <c r="O12" s="146"/>
      <c r="P12" s="136"/>
      <c r="Q12" s="146"/>
      <c r="R12" s="136">
        <f t="shared" si="0"/>
        <v>0</v>
      </c>
      <c r="S12" s="150">
        <f t="shared" si="1"/>
        <v>1078.125</v>
      </c>
      <c r="T12" s="137"/>
      <c r="U12" s="138">
        <f t="shared" si="2"/>
        <v>1078.125</v>
      </c>
    </row>
    <row r="13" spans="2:21" x14ac:dyDescent="0.8">
      <c r="B13" s="134">
        <v>7</v>
      </c>
      <c r="C13" s="135" t="s">
        <v>424</v>
      </c>
      <c r="D13" s="136"/>
      <c r="E13" s="135"/>
      <c r="F13" s="136"/>
      <c r="G13" s="150">
        <v>1078.125</v>
      </c>
      <c r="H13" s="136"/>
      <c r="I13" s="146"/>
      <c r="J13" s="136"/>
      <c r="K13" s="146"/>
      <c r="L13" s="136"/>
      <c r="M13" s="146"/>
      <c r="N13" s="136"/>
      <c r="O13" s="146"/>
      <c r="P13" s="136"/>
      <c r="Q13" s="146"/>
      <c r="R13" s="136">
        <f t="shared" si="0"/>
        <v>0</v>
      </c>
      <c r="S13" s="150">
        <f t="shared" si="1"/>
        <v>1078.125</v>
      </c>
      <c r="T13" s="137"/>
      <c r="U13" s="138">
        <f t="shared" si="2"/>
        <v>1078.125</v>
      </c>
    </row>
    <row r="14" spans="2:21" x14ac:dyDescent="0.8">
      <c r="B14" s="134">
        <v>8</v>
      </c>
      <c r="C14" s="135" t="s">
        <v>415</v>
      </c>
      <c r="D14" s="136"/>
      <c r="E14" s="135"/>
      <c r="F14" s="136"/>
      <c r="G14" s="150">
        <v>1078.125</v>
      </c>
      <c r="H14" s="136"/>
      <c r="I14" s="146"/>
      <c r="J14" s="136"/>
      <c r="K14" s="146"/>
      <c r="L14" s="136"/>
      <c r="M14" s="146"/>
      <c r="N14" s="136"/>
      <c r="O14" s="146"/>
      <c r="P14" s="136"/>
      <c r="Q14" s="146"/>
      <c r="R14" s="136">
        <f t="shared" si="0"/>
        <v>0</v>
      </c>
      <c r="S14" s="150">
        <f t="shared" si="1"/>
        <v>1078.125</v>
      </c>
      <c r="T14" s="137"/>
      <c r="U14" s="138">
        <f t="shared" si="2"/>
        <v>1078.125</v>
      </c>
    </row>
    <row r="15" spans="2:21" x14ac:dyDescent="0.8">
      <c r="B15" s="134">
        <v>9</v>
      </c>
      <c r="C15" s="135" t="s">
        <v>446</v>
      </c>
      <c r="D15" s="136"/>
      <c r="E15" s="135"/>
      <c r="F15" s="136"/>
      <c r="G15" s="150">
        <v>1078.125</v>
      </c>
      <c r="H15" s="136"/>
      <c r="I15" s="146"/>
      <c r="J15" s="136"/>
      <c r="K15" s="146"/>
      <c r="L15" s="136"/>
      <c r="M15" s="146"/>
      <c r="N15" s="136"/>
      <c r="O15" s="146"/>
      <c r="P15" s="136"/>
      <c r="Q15" s="146"/>
      <c r="R15" s="136">
        <f t="shared" si="0"/>
        <v>0</v>
      </c>
      <c r="S15" s="150">
        <f t="shared" si="1"/>
        <v>1078.125</v>
      </c>
      <c r="T15" s="137"/>
      <c r="U15" s="138">
        <f t="shared" si="2"/>
        <v>1078.125</v>
      </c>
    </row>
    <row r="16" spans="2:21" x14ac:dyDescent="0.8">
      <c r="B16" s="134">
        <v>10</v>
      </c>
      <c r="C16" s="135" t="s">
        <v>427</v>
      </c>
      <c r="D16" s="136"/>
      <c r="E16" s="135"/>
      <c r="F16" s="136"/>
      <c r="G16" s="150">
        <v>1078.125</v>
      </c>
      <c r="H16" s="136"/>
      <c r="I16" s="146"/>
      <c r="J16" s="136"/>
      <c r="K16" s="146"/>
      <c r="L16" s="136"/>
      <c r="M16" s="146"/>
      <c r="N16" s="136"/>
      <c r="O16" s="146"/>
      <c r="P16" s="136"/>
      <c r="Q16" s="146"/>
      <c r="R16" s="136">
        <f t="shared" si="0"/>
        <v>0</v>
      </c>
      <c r="S16" s="150">
        <f t="shared" si="1"/>
        <v>1078.125</v>
      </c>
      <c r="T16" s="137"/>
      <c r="U16" s="138">
        <f t="shared" si="2"/>
        <v>1078.125</v>
      </c>
    </row>
    <row r="17" spans="2:21" x14ac:dyDescent="0.8">
      <c r="B17" s="134">
        <v>11</v>
      </c>
      <c r="C17" s="135"/>
      <c r="D17" s="136"/>
      <c r="E17" s="135"/>
      <c r="F17" s="136"/>
      <c r="G17" s="146"/>
      <c r="H17" s="136"/>
      <c r="I17" s="146"/>
      <c r="J17" s="136"/>
      <c r="K17" s="146"/>
      <c r="L17" s="136"/>
      <c r="M17" s="146"/>
      <c r="N17" s="136"/>
      <c r="O17" s="146"/>
      <c r="P17" s="136"/>
      <c r="Q17" s="146"/>
      <c r="R17" s="136">
        <f t="shared" si="0"/>
        <v>0</v>
      </c>
      <c r="S17" s="150">
        <f t="shared" si="1"/>
        <v>0</v>
      </c>
      <c r="T17" s="137"/>
      <c r="U17" s="138">
        <f t="shared" si="2"/>
        <v>0</v>
      </c>
    </row>
    <row r="18" spans="2:21" x14ac:dyDescent="0.8">
      <c r="B18" s="134">
        <v>12</v>
      </c>
      <c r="C18" s="135"/>
      <c r="D18" s="136"/>
      <c r="E18" s="135"/>
      <c r="F18" s="136"/>
      <c r="G18" s="146"/>
      <c r="H18" s="136"/>
      <c r="I18" s="146"/>
      <c r="J18" s="136"/>
      <c r="K18" s="146"/>
      <c r="L18" s="136"/>
      <c r="M18" s="146"/>
      <c r="N18" s="136"/>
      <c r="O18" s="146"/>
      <c r="P18" s="136"/>
      <c r="Q18" s="146"/>
      <c r="R18" s="136">
        <f t="shared" si="0"/>
        <v>0</v>
      </c>
      <c r="S18" s="150">
        <f t="shared" si="1"/>
        <v>0</v>
      </c>
      <c r="T18" s="137"/>
      <c r="U18" s="138">
        <f t="shared" si="2"/>
        <v>0</v>
      </c>
    </row>
    <row r="19" spans="2:21" x14ac:dyDescent="0.8">
      <c r="B19" s="134">
        <v>13</v>
      </c>
      <c r="C19" s="135"/>
      <c r="D19" s="136"/>
      <c r="E19" s="135"/>
      <c r="F19" s="136"/>
      <c r="G19" s="146"/>
      <c r="H19" s="136"/>
      <c r="I19" s="146"/>
      <c r="J19" s="136"/>
      <c r="K19" s="146"/>
      <c r="L19" s="136"/>
      <c r="M19" s="146"/>
      <c r="N19" s="136"/>
      <c r="O19" s="146"/>
      <c r="P19" s="136"/>
      <c r="Q19" s="146"/>
      <c r="R19" s="136">
        <f t="shared" si="0"/>
        <v>0</v>
      </c>
      <c r="S19" s="150">
        <f t="shared" si="1"/>
        <v>0</v>
      </c>
      <c r="T19" s="137"/>
      <c r="U19" s="138">
        <f t="shared" si="2"/>
        <v>0</v>
      </c>
    </row>
    <row r="20" spans="2:21" x14ac:dyDescent="0.8">
      <c r="B20" s="134">
        <v>14</v>
      </c>
      <c r="C20" s="135"/>
      <c r="D20" s="136"/>
      <c r="E20" s="135"/>
      <c r="F20" s="136"/>
      <c r="G20" s="146"/>
      <c r="H20" s="136"/>
      <c r="I20" s="146"/>
      <c r="J20" s="136"/>
      <c r="K20" s="146"/>
      <c r="L20" s="136"/>
      <c r="M20" s="146"/>
      <c r="N20" s="136"/>
      <c r="O20" s="146"/>
      <c r="P20" s="136"/>
      <c r="Q20" s="146"/>
      <c r="R20" s="136">
        <f t="shared" si="0"/>
        <v>0</v>
      </c>
      <c r="S20" s="150">
        <f t="shared" si="1"/>
        <v>0</v>
      </c>
      <c r="T20" s="137"/>
      <c r="U20" s="138">
        <f t="shared" si="2"/>
        <v>0</v>
      </c>
    </row>
    <row r="21" spans="2:21" x14ac:dyDescent="0.8">
      <c r="B21" s="134">
        <v>15</v>
      </c>
      <c r="C21" s="135"/>
      <c r="D21" s="136"/>
      <c r="E21" s="135"/>
      <c r="F21" s="136"/>
      <c r="G21" s="146"/>
      <c r="H21" s="136"/>
      <c r="I21" s="146"/>
      <c r="J21" s="136"/>
      <c r="K21" s="146"/>
      <c r="L21" s="136"/>
      <c r="M21" s="146"/>
      <c r="N21" s="136"/>
      <c r="O21" s="146"/>
      <c r="P21" s="136"/>
      <c r="Q21" s="146"/>
      <c r="R21" s="136">
        <f t="shared" si="0"/>
        <v>0</v>
      </c>
      <c r="S21" s="150">
        <f t="shared" si="1"/>
        <v>0</v>
      </c>
      <c r="T21" s="137"/>
      <c r="U21" s="138">
        <f t="shared" si="2"/>
        <v>0</v>
      </c>
    </row>
    <row r="22" spans="2:21" x14ac:dyDescent="0.8">
      <c r="B22" s="134">
        <v>16</v>
      </c>
      <c r="C22" s="135"/>
      <c r="D22" s="136"/>
      <c r="E22" s="135"/>
      <c r="F22" s="136"/>
      <c r="G22" s="146"/>
      <c r="H22" s="136"/>
      <c r="I22" s="146"/>
      <c r="J22" s="136"/>
      <c r="K22" s="146"/>
      <c r="L22" s="136"/>
      <c r="M22" s="146"/>
      <c r="N22" s="136"/>
      <c r="O22" s="146"/>
      <c r="P22" s="136"/>
      <c r="Q22" s="146"/>
      <c r="R22" s="136">
        <f t="shared" si="0"/>
        <v>0</v>
      </c>
      <c r="S22" s="150">
        <f t="shared" si="1"/>
        <v>0</v>
      </c>
      <c r="T22" s="137"/>
      <c r="U22" s="138">
        <f t="shared" si="2"/>
        <v>0</v>
      </c>
    </row>
    <row r="23" spans="2:21" x14ac:dyDescent="0.8">
      <c r="B23" s="134">
        <v>17</v>
      </c>
      <c r="C23" s="135"/>
      <c r="D23" s="136"/>
      <c r="E23" s="135"/>
      <c r="F23" s="136"/>
      <c r="G23" s="146"/>
      <c r="H23" s="136"/>
      <c r="I23" s="146"/>
      <c r="J23" s="136"/>
      <c r="K23" s="146"/>
      <c r="L23" s="136"/>
      <c r="M23" s="146"/>
      <c r="N23" s="136"/>
      <c r="O23" s="146"/>
      <c r="P23" s="136"/>
      <c r="Q23" s="146"/>
      <c r="R23" s="136">
        <f t="shared" si="0"/>
        <v>0</v>
      </c>
      <c r="S23" s="150">
        <f t="shared" si="1"/>
        <v>0</v>
      </c>
      <c r="T23" s="137"/>
      <c r="U23" s="138">
        <f t="shared" si="2"/>
        <v>0</v>
      </c>
    </row>
    <row r="24" spans="2:21" x14ac:dyDescent="0.8">
      <c r="B24" s="134">
        <v>18</v>
      </c>
      <c r="C24" s="135"/>
      <c r="D24" s="136"/>
      <c r="E24" s="135"/>
      <c r="F24" s="136"/>
      <c r="G24" s="146"/>
      <c r="H24" s="136"/>
      <c r="I24" s="146"/>
      <c r="J24" s="136"/>
      <c r="K24" s="146"/>
      <c r="L24" s="136"/>
      <c r="M24" s="146"/>
      <c r="N24" s="136"/>
      <c r="O24" s="146"/>
      <c r="P24" s="136"/>
      <c r="Q24" s="146"/>
      <c r="R24" s="136">
        <f t="shared" si="0"/>
        <v>0</v>
      </c>
      <c r="S24" s="150">
        <f t="shared" si="1"/>
        <v>0</v>
      </c>
      <c r="T24" s="137"/>
      <c r="U24" s="138">
        <f t="shared" si="2"/>
        <v>0</v>
      </c>
    </row>
    <row r="25" spans="2:21" x14ac:dyDescent="0.8">
      <c r="B25" s="134">
        <v>19</v>
      </c>
      <c r="C25" s="135"/>
      <c r="D25" s="136"/>
      <c r="E25" s="135"/>
      <c r="F25" s="136"/>
      <c r="G25" s="146"/>
      <c r="H25" s="136"/>
      <c r="I25" s="146"/>
      <c r="J25" s="136"/>
      <c r="K25" s="146"/>
      <c r="L25" s="136"/>
      <c r="M25" s="146"/>
      <c r="N25" s="136"/>
      <c r="O25" s="146"/>
      <c r="P25" s="136"/>
      <c r="Q25" s="146"/>
      <c r="R25" s="136">
        <f t="shared" si="0"/>
        <v>0</v>
      </c>
      <c r="S25" s="150">
        <f t="shared" si="1"/>
        <v>0</v>
      </c>
      <c r="T25" s="137"/>
      <c r="U25" s="138">
        <f t="shared" si="2"/>
        <v>0</v>
      </c>
    </row>
    <row r="26" spans="2:21" x14ac:dyDescent="0.8">
      <c r="B26" s="134">
        <v>20</v>
      </c>
      <c r="C26" s="135"/>
      <c r="D26" s="136"/>
      <c r="E26" s="135"/>
      <c r="F26" s="136"/>
      <c r="G26" s="146"/>
      <c r="H26" s="136"/>
      <c r="I26" s="146"/>
      <c r="J26" s="136"/>
      <c r="K26" s="146"/>
      <c r="L26" s="136"/>
      <c r="M26" s="146"/>
      <c r="N26" s="136"/>
      <c r="O26" s="146"/>
      <c r="P26" s="136"/>
      <c r="Q26" s="146"/>
      <c r="R26" s="136">
        <f t="shared" ref="R26:R52" si="3">+SUM(P26,N26,L26,J26,H26,F26,D26)</f>
        <v>0</v>
      </c>
      <c r="S26" s="150">
        <f t="shared" ref="S26:S52" si="4">+SUM(E26,G26,I26,K26,M26,O26,Q26)</f>
        <v>0</v>
      </c>
      <c r="T26" s="137"/>
      <c r="U26" s="138">
        <f t="shared" si="2"/>
        <v>0</v>
      </c>
    </row>
    <row r="27" spans="2:21" x14ac:dyDescent="0.8">
      <c r="B27" s="134">
        <v>21</v>
      </c>
      <c r="C27" s="135"/>
      <c r="D27" s="136"/>
      <c r="E27" s="135"/>
      <c r="F27" s="136"/>
      <c r="G27" s="146"/>
      <c r="H27" s="136"/>
      <c r="I27" s="146"/>
      <c r="J27" s="136"/>
      <c r="K27" s="146"/>
      <c r="L27" s="136"/>
      <c r="M27" s="146"/>
      <c r="N27" s="136"/>
      <c r="O27" s="146"/>
      <c r="P27" s="136"/>
      <c r="Q27" s="146"/>
      <c r="R27" s="136">
        <f t="shared" si="3"/>
        <v>0</v>
      </c>
      <c r="S27" s="150">
        <f t="shared" si="4"/>
        <v>0</v>
      </c>
      <c r="T27" s="137"/>
      <c r="U27" s="138">
        <f t="shared" si="2"/>
        <v>0</v>
      </c>
    </row>
    <row r="28" spans="2:21" x14ac:dyDescent="0.8">
      <c r="B28" s="134">
        <v>22</v>
      </c>
      <c r="C28" s="135"/>
      <c r="D28" s="136"/>
      <c r="E28" s="135"/>
      <c r="F28" s="136"/>
      <c r="G28" s="146"/>
      <c r="H28" s="136"/>
      <c r="I28" s="146"/>
      <c r="J28" s="136"/>
      <c r="K28" s="146"/>
      <c r="L28" s="136"/>
      <c r="M28" s="146"/>
      <c r="N28" s="136"/>
      <c r="O28" s="146"/>
      <c r="P28" s="136"/>
      <c r="Q28" s="146"/>
      <c r="R28" s="136">
        <f t="shared" si="3"/>
        <v>0</v>
      </c>
      <c r="S28" s="150">
        <f t="shared" si="4"/>
        <v>0</v>
      </c>
      <c r="T28" s="137"/>
      <c r="U28" s="138">
        <f t="shared" si="2"/>
        <v>0</v>
      </c>
    </row>
    <row r="29" spans="2:21" x14ac:dyDescent="0.8">
      <c r="B29" s="134">
        <v>23</v>
      </c>
      <c r="C29" s="135"/>
      <c r="D29" s="136"/>
      <c r="E29" s="135"/>
      <c r="F29" s="136"/>
      <c r="G29" s="146"/>
      <c r="H29" s="136"/>
      <c r="I29" s="146"/>
      <c r="J29" s="136"/>
      <c r="K29" s="146"/>
      <c r="L29" s="136"/>
      <c r="M29" s="146"/>
      <c r="N29" s="136"/>
      <c r="O29" s="146"/>
      <c r="P29" s="136"/>
      <c r="Q29" s="146"/>
      <c r="R29" s="136">
        <f t="shared" si="3"/>
        <v>0</v>
      </c>
      <c r="S29" s="150">
        <f t="shared" si="4"/>
        <v>0</v>
      </c>
      <c r="T29" s="137"/>
      <c r="U29" s="138">
        <f t="shared" si="2"/>
        <v>0</v>
      </c>
    </row>
    <row r="30" spans="2:21" x14ac:dyDescent="0.8">
      <c r="B30" s="134">
        <v>24</v>
      </c>
      <c r="C30" s="135"/>
      <c r="D30" s="136"/>
      <c r="E30" s="135"/>
      <c r="F30" s="136"/>
      <c r="G30" s="146"/>
      <c r="H30" s="136"/>
      <c r="I30" s="146"/>
      <c r="J30" s="136"/>
      <c r="K30" s="146"/>
      <c r="L30" s="136"/>
      <c r="M30" s="146"/>
      <c r="N30" s="136"/>
      <c r="O30" s="146"/>
      <c r="P30" s="136"/>
      <c r="Q30" s="146"/>
      <c r="R30" s="136">
        <f t="shared" si="3"/>
        <v>0</v>
      </c>
      <c r="S30" s="150">
        <f t="shared" si="4"/>
        <v>0</v>
      </c>
      <c r="T30" s="137"/>
      <c r="U30" s="138">
        <f t="shared" si="2"/>
        <v>0</v>
      </c>
    </row>
    <row r="31" spans="2:21" x14ac:dyDescent="0.8">
      <c r="B31" s="134">
        <v>25</v>
      </c>
      <c r="C31" s="135"/>
      <c r="D31" s="136"/>
      <c r="E31" s="135"/>
      <c r="F31" s="136"/>
      <c r="G31" s="146"/>
      <c r="H31" s="136"/>
      <c r="I31" s="146"/>
      <c r="J31" s="136"/>
      <c r="K31" s="146"/>
      <c r="L31" s="136"/>
      <c r="M31" s="146"/>
      <c r="N31" s="136"/>
      <c r="O31" s="146"/>
      <c r="P31" s="136"/>
      <c r="Q31" s="146"/>
      <c r="R31" s="136">
        <f t="shared" si="3"/>
        <v>0</v>
      </c>
      <c r="S31" s="150">
        <f t="shared" si="4"/>
        <v>0</v>
      </c>
      <c r="T31" s="137"/>
      <c r="U31" s="138">
        <f t="shared" si="2"/>
        <v>0</v>
      </c>
    </row>
    <row r="32" spans="2:21" x14ac:dyDescent="0.8">
      <c r="B32" s="134">
        <v>26</v>
      </c>
      <c r="C32" s="135"/>
      <c r="D32" s="136"/>
      <c r="E32" s="135"/>
      <c r="F32" s="136"/>
      <c r="G32" s="146"/>
      <c r="H32" s="136"/>
      <c r="I32" s="146"/>
      <c r="J32" s="136"/>
      <c r="K32" s="146"/>
      <c r="L32" s="136"/>
      <c r="M32" s="146"/>
      <c r="N32" s="136"/>
      <c r="O32" s="146"/>
      <c r="P32" s="136"/>
      <c r="Q32" s="146"/>
      <c r="R32" s="136">
        <f t="shared" si="3"/>
        <v>0</v>
      </c>
      <c r="S32" s="150">
        <f t="shared" si="4"/>
        <v>0</v>
      </c>
      <c r="T32" s="137"/>
      <c r="U32" s="138">
        <f t="shared" si="2"/>
        <v>0</v>
      </c>
    </row>
    <row r="33" spans="2:21" x14ac:dyDescent="0.8">
      <c r="B33" s="134">
        <v>27</v>
      </c>
      <c r="C33" s="135"/>
      <c r="D33" s="136"/>
      <c r="E33" s="135"/>
      <c r="F33" s="136"/>
      <c r="G33" s="146"/>
      <c r="H33" s="136"/>
      <c r="I33" s="146"/>
      <c r="J33" s="136"/>
      <c r="K33" s="146"/>
      <c r="L33" s="136"/>
      <c r="M33" s="146"/>
      <c r="N33" s="136"/>
      <c r="O33" s="146"/>
      <c r="P33" s="136"/>
      <c r="Q33" s="146"/>
      <c r="R33" s="136">
        <f t="shared" si="3"/>
        <v>0</v>
      </c>
      <c r="S33" s="150">
        <f t="shared" si="4"/>
        <v>0</v>
      </c>
      <c r="T33" s="137"/>
      <c r="U33" s="138">
        <f t="shared" si="2"/>
        <v>0</v>
      </c>
    </row>
    <row r="34" spans="2:21" x14ac:dyDescent="0.8">
      <c r="B34" s="134">
        <v>28</v>
      </c>
      <c r="C34" s="135"/>
      <c r="D34" s="136"/>
      <c r="E34" s="135"/>
      <c r="F34" s="136"/>
      <c r="G34" s="146"/>
      <c r="H34" s="136"/>
      <c r="I34" s="146"/>
      <c r="J34" s="136"/>
      <c r="K34" s="146"/>
      <c r="L34" s="136"/>
      <c r="M34" s="146"/>
      <c r="N34" s="136"/>
      <c r="O34" s="146"/>
      <c r="P34" s="136"/>
      <c r="Q34" s="146"/>
      <c r="R34" s="136">
        <f t="shared" si="3"/>
        <v>0</v>
      </c>
      <c r="S34" s="150">
        <f t="shared" si="4"/>
        <v>0</v>
      </c>
      <c r="T34" s="137"/>
      <c r="U34" s="138">
        <f t="shared" si="2"/>
        <v>0</v>
      </c>
    </row>
    <row r="35" spans="2:21" x14ac:dyDescent="0.8">
      <c r="B35" s="134">
        <v>29</v>
      </c>
      <c r="C35" s="135"/>
      <c r="D35" s="136"/>
      <c r="E35" s="135"/>
      <c r="F35" s="136"/>
      <c r="G35" s="146"/>
      <c r="H35" s="136"/>
      <c r="I35" s="146"/>
      <c r="J35" s="136"/>
      <c r="K35" s="146"/>
      <c r="L35" s="136"/>
      <c r="M35" s="146"/>
      <c r="N35" s="136"/>
      <c r="O35" s="146"/>
      <c r="P35" s="136"/>
      <c r="Q35" s="146"/>
      <c r="R35" s="136">
        <f t="shared" si="3"/>
        <v>0</v>
      </c>
      <c r="S35" s="150">
        <f t="shared" si="4"/>
        <v>0</v>
      </c>
      <c r="T35" s="137"/>
      <c r="U35" s="138">
        <f t="shared" si="2"/>
        <v>0</v>
      </c>
    </row>
    <row r="36" spans="2:21" x14ac:dyDescent="0.8">
      <c r="B36" s="134">
        <v>30</v>
      </c>
      <c r="C36" s="135"/>
      <c r="D36" s="136"/>
      <c r="E36" s="135"/>
      <c r="F36" s="136"/>
      <c r="G36" s="146"/>
      <c r="H36" s="136"/>
      <c r="I36" s="146"/>
      <c r="J36" s="136"/>
      <c r="K36" s="146"/>
      <c r="L36" s="136"/>
      <c r="M36" s="146"/>
      <c r="N36" s="136"/>
      <c r="O36" s="146"/>
      <c r="P36" s="136"/>
      <c r="Q36" s="146"/>
      <c r="R36" s="136">
        <f t="shared" si="3"/>
        <v>0</v>
      </c>
      <c r="S36" s="150">
        <f t="shared" si="4"/>
        <v>0</v>
      </c>
      <c r="T36" s="137"/>
      <c r="U36" s="138">
        <f t="shared" si="2"/>
        <v>0</v>
      </c>
    </row>
    <row r="37" spans="2:21" x14ac:dyDescent="0.8">
      <c r="B37" s="134">
        <v>31</v>
      </c>
      <c r="C37" s="135"/>
      <c r="D37" s="136"/>
      <c r="E37" s="135"/>
      <c r="F37" s="136"/>
      <c r="G37" s="146"/>
      <c r="H37" s="136"/>
      <c r="I37" s="146"/>
      <c r="J37" s="136"/>
      <c r="K37" s="146"/>
      <c r="L37" s="136"/>
      <c r="M37" s="146"/>
      <c r="N37" s="136"/>
      <c r="O37" s="146"/>
      <c r="P37" s="136"/>
      <c r="Q37" s="146"/>
      <c r="R37" s="136">
        <f t="shared" si="3"/>
        <v>0</v>
      </c>
      <c r="S37" s="150">
        <f t="shared" si="4"/>
        <v>0</v>
      </c>
      <c r="T37" s="137"/>
      <c r="U37" s="138">
        <f t="shared" si="2"/>
        <v>0</v>
      </c>
    </row>
    <row r="38" spans="2:21" x14ac:dyDescent="0.8">
      <c r="B38" s="134">
        <v>32</v>
      </c>
      <c r="C38" s="135"/>
      <c r="D38" s="136"/>
      <c r="E38" s="135"/>
      <c r="F38" s="136"/>
      <c r="G38" s="146"/>
      <c r="H38" s="136"/>
      <c r="I38" s="146"/>
      <c r="J38" s="136"/>
      <c r="K38" s="146"/>
      <c r="L38" s="136"/>
      <c r="M38" s="146"/>
      <c r="N38" s="136"/>
      <c r="O38" s="146"/>
      <c r="P38" s="136"/>
      <c r="Q38" s="146"/>
      <c r="R38" s="136">
        <f t="shared" si="3"/>
        <v>0</v>
      </c>
      <c r="S38" s="150">
        <f t="shared" si="4"/>
        <v>0</v>
      </c>
      <c r="T38" s="137"/>
      <c r="U38" s="138">
        <f t="shared" si="2"/>
        <v>0</v>
      </c>
    </row>
    <row r="39" spans="2:21" x14ac:dyDescent="0.8">
      <c r="B39" s="134">
        <v>33</v>
      </c>
      <c r="C39" s="135"/>
      <c r="D39" s="136"/>
      <c r="E39" s="135"/>
      <c r="F39" s="136"/>
      <c r="G39" s="146"/>
      <c r="H39" s="136"/>
      <c r="I39" s="146"/>
      <c r="J39" s="136"/>
      <c r="K39" s="146"/>
      <c r="L39" s="136"/>
      <c r="M39" s="146"/>
      <c r="N39" s="136"/>
      <c r="O39" s="146"/>
      <c r="P39" s="136"/>
      <c r="Q39" s="146"/>
      <c r="R39" s="136">
        <f t="shared" si="3"/>
        <v>0</v>
      </c>
      <c r="S39" s="150">
        <f t="shared" si="4"/>
        <v>0</v>
      </c>
      <c r="T39" s="137"/>
      <c r="U39" s="138">
        <f t="shared" si="2"/>
        <v>0</v>
      </c>
    </row>
    <row r="40" spans="2:21" x14ac:dyDescent="0.8">
      <c r="B40" s="134">
        <v>34</v>
      </c>
      <c r="C40" s="135"/>
      <c r="D40" s="136"/>
      <c r="E40" s="135"/>
      <c r="F40" s="136"/>
      <c r="G40" s="146"/>
      <c r="H40" s="136"/>
      <c r="I40" s="146"/>
      <c r="J40" s="136"/>
      <c r="K40" s="146"/>
      <c r="L40" s="136"/>
      <c r="M40" s="146"/>
      <c r="N40" s="136"/>
      <c r="O40" s="146"/>
      <c r="P40" s="136"/>
      <c r="Q40" s="146"/>
      <c r="R40" s="136">
        <f t="shared" si="3"/>
        <v>0</v>
      </c>
      <c r="S40" s="150">
        <f t="shared" si="4"/>
        <v>0</v>
      </c>
      <c r="T40" s="137"/>
      <c r="U40" s="138">
        <f t="shared" si="2"/>
        <v>0</v>
      </c>
    </row>
    <row r="41" spans="2:21" x14ac:dyDescent="0.8">
      <c r="B41" s="134">
        <v>35</v>
      </c>
      <c r="C41" s="135"/>
      <c r="D41" s="136"/>
      <c r="E41" s="135"/>
      <c r="F41" s="136"/>
      <c r="G41" s="146"/>
      <c r="H41" s="136"/>
      <c r="I41" s="146"/>
      <c r="J41" s="136"/>
      <c r="K41" s="146"/>
      <c r="L41" s="136"/>
      <c r="M41" s="146"/>
      <c r="N41" s="136"/>
      <c r="O41" s="146"/>
      <c r="P41" s="136"/>
      <c r="Q41" s="146"/>
      <c r="R41" s="136">
        <f t="shared" si="3"/>
        <v>0</v>
      </c>
      <c r="S41" s="150">
        <f t="shared" si="4"/>
        <v>0</v>
      </c>
      <c r="T41" s="137"/>
      <c r="U41" s="138">
        <f t="shared" si="2"/>
        <v>0</v>
      </c>
    </row>
    <row r="42" spans="2:21" x14ac:dyDescent="0.8">
      <c r="B42" s="134">
        <v>36</v>
      </c>
      <c r="C42" s="135"/>
      <c r="D42" s="136"/>
      <c r="E42" s="135"/>
      <c r="F42" s="136"/>
      <c r="G42" s="146"/>
      <c r="H42" s="136"/>
      <c r="I42" s="146"/>
      <c r="J42" s="136"/>
      <c r="K42" s="146"/>
      <c r="L42" s="136"/>
      <c r="M42" s="146"/>
      <c r="N42" s="136"/>
      <c r="O42" s="146"/>
      <c r="P42" s="136"/>
      <c r="Q42" s="146"/>
      <c r="R42" s="136">
        <f t="shared" si="3"/>
        <v>0</v>
      </c>
      <c r="S42" s="150">
        <f t="shared" si="4"/>
        <v>0</v>
      </c>
      <c r="T42" s="137"/>
      <c r="U42" s="138">
        <f t="shared" si="2"/>
        <v>0</v>
      </c>
    </row>
    <row r="43" spans="2:21" x14ac:dyDescent="0.8">
      <c r="B43" s="134">
        <v>37</v>
      </c>
      <c r="C43" s="135"/>
      <c r="D43" s="136"/>
      <c r="E43" s="135"/>
      <c r="F43" s="136"/>
      <c r="G43" s="146"/>
      <c r="H43" s="136"/>
      <c r="I43" s="146"/>
      <c r="J43" s="136"/>
      <c r="K43" s="146"/>
      <c r="L43" s="136"/>
      <c r="M43" s="146"/>
      <c r="N43" s="136"/>
      <c r="O43" s="146"/>
      <c r="P43" s="136"/>
      <c r="Q43" s="146"/>
      <c r="R43" s="136">
        <f t="shared" si="3"/>
        <v>0</v>
      </c>
      <c r="S43" s="150">
        <f t="shared" si="4"/>
        <v>0</v>
      </c>
      <c r="T43" s="137"/>
      <c r="U43" s="138">
        <f t="shared" si="2"/>
        <v>0</v>
      </c>
    </row>
    <row r="44" spans="2:21" x14ac:dyDescent="0.8">
      <c r="B44" s="134">
        <v>38</v>
      </c>
      <c r="C44" s="135"/>
      <c r="D44" s="136"/>
      <c r="E44" s="135"/>
      <c r="F44" s="136"/>
      <c r="G44" s="146"/>
      <c r="H44" s="136"/>
      <c r="I44" s="146"/>
      <c r="J44" s="136"/>
      <c r="K44" s="146"/>
      <c r="L44" s="136"/>
      <c r="M44" s="146"/>
      <c r="N44" s="136"/>
      <c r="O44" s="146"/>
      <c r="P44" s="136"/>
      <c r="Q44" s="146"/>
      <c r="R44" s="136">
        <f t="shared" si="3"/>
        <v>0</v>
      </c>
      <c r="S44" s="150">
        <f t="shared" si="4"/>
        <v>0</v>
      </c>
      <c r="T44" s="137"/>
      <c r="U44" s="138">
        <f t="shared" si="2"/>
        <v>0</v>
      </c>
    </row>
    <row r="45" spans="2:21" x14ac:dyDescent="0.8">
      <c r="B45" s="134">
        <v>39</v>
      </c>
      <c r="C45" s="135"/>
      <c r="D45" s="136"/>
      <c r="E45" s="135"/>
      <c r="F45" s="136"/>
      <c r="G45" s="146"/>
      <c r="H45" s="136"/>
      <c r="I45" s="146"/>
      <c r="J45" s="136"/>
      <c r="K45" s="146"/>
      <c r="L45" s="136"/>
      <c r="M45" s="146"/>
      <c r="N45" s="136"/>
      <c r="O45" s="146"/>
      <c r="P45" s="136"/>
      <c r="Q45" s="146"/>
      <c r="R45" s="136">
        <f t="shared" si="3"/>
        <v>0</v>
      </c>
      <c r="S45" s="150">
        <f t="shared" si="4"/>
        <v>0</v>
      </c>
      <c r="T45" s="137"/>
      <c r="U45" s="138">
        <f t="shared" si="2"/>
        <v>0</v>
      </c>
    </row>
    <row r="46" spans="2:21" x14ac:dyDescent="0.8">
      <c r="B46" s="134">
        <v>40</v>
      </c>
      <c r="C46" s="135"/>
      <c r="D46" s="136"/>
      <c r="E46" s="135"/>
      <c r="F46" s="136"/>
      <c r="G46" s="146"/>
      <c r="H46" s="136"/>
      <c r="I46" s="146"/>
      <c r="J46" s="136"/>
      <c r="K46" s="146"/>
      <c r="L46" s="136"/>
      <c r="M46" s="146"/>
      <c r="N46" s="136"/>
      <c r="O46" s="146"/>
      <c r="P46" s="136"/>
      <c r="Q46" s="146"/>
      <c r="R46" s="136">
        <f t="shared" si="3"/>
        <v>0</v>
      </c>
      <c r="S46" s="150">
        <f t="shared" si="4"/>
        <v>0</v>
      </c>
      <c r="T46" s="137"/>
      <c r="U46" s="138">
        <f t="shared" si="2"/>
        <v>0</v>
      </c>
    </row>
    <row r="47" spans="2:21" x14ac:dyDescent="0.8">
      <c r="B47" s="134">
        <v>41</v>
      </c>
      <c r="C47" s="135"/>
      <c r="D47" s="136"/>
      <c r="E47" s="135"/>
      <c r="F47" s="136"/>
      <c r="G47" s="146"/>
      <c r="H47" s="136"/>
      <c r="I47" s="146"/>
      <c r="J47" s="136"/>
      <c r="K47" s="146"/>
      <c r="L47" s="136"/>
      <c r="M47" s="146"/>
      <c r="N47" s="136"/>
      <c r="O47" s="146"/>
      <c r="P47" s="136"/>
      <c r="Q47" s="146"/>
      <c r="R47" s="136">
        <f t="shared" si="3"/>
        <v>0</v>
      </c>
      <c r="S47" s="150">
        <f t="shared" si="4"/>
        <v>0</v>
      </c>
      <c r="T47" s="137"/>
      <c r="U47" s="138">
        <f t="shared" si="2"/>
        <v>0</v>
      </c>
    </row>
    <row r="48" spans="2:21" x14ac:dyDescent="0.8">
      <c r="B48" s="134">
        <v>42</v>
      </c>
      <c r="C48" s="135"/>
      <c r="D48" s="136"/>
      <c r="E48" s="135"/>
      <c r="F48" s="136"/>
      <c r="G48" s="146"/>
      <c r="H48" s="136"/>
      <c r="I48" s="146"/>
      <c r="J48" s="136"/>
      <c r="K48" s="146"/>
      <c r="L48" s="136"/>
      <c r="M48" s="146"/>
      <c r="N48" s="136"/>
      <c r="O48" s="146"/>
      <c r="P48" s="136"/>
      <c r="Q48" s="146"/>
      <c r="R48" s="136">
        <f t="shared" si="3"/>
        <v>0</v>
      </c>
      <c r="S48" s="150">
        <f t="shared" si="4"/>
        <v>0</v>
      </c>
      <c r="T48" s="137"/>
      <c r="U48" s="138">
        <f t="shared" si="2"/>
        <v>0</v>
      </c>
    </row>
    <row r="49" spans="2:21" x14ac:dyDescent="0.8">
      <c r="B49" s="134">
        <v>43</v>
      </c>
      <c r="C49" s="135"/>
      <c r="D49" s="136"/>
      <c r="E49" s="135"/>
      <c r="F49" s="136"/>
      <c r="G49" s="146"/>
      <c r="H49" s="136"/>
      <c r="I49" s="146"/>
      <c r="J49" s="136"/>
      <c r="K49" s="146"/>
      <c r="L49" s="136"/>
      <c r="M49" s="146"/>
      <c r="N49" s="136"/>
      <c r="O49" s="146"/>
      <c r="P49" s="136"/>
      <c r="Q49" s="146"/>
      <c r="R49" s="136">
        <f t="shared" si="3"/>
        <v>0</v>
      </c>
      <c r="S49" s="150">
        <f t="shared" si="4"/>
        <v>0</v>
      </c>
      <c r="T49" s="137"/>
      <c r="U49" s="138">
        <f t="shared" si="2"/>
        <v>0</v>
      </c>
    </row>
    <row r="50" spans="2:21" x14ac:dyDescent="0.8">
      <c r="B50" s="134">
        <v>44</v>
      </c>
      <c r="C50" s="135"/>
      <c r="D50" s="136"/>
      <c r="E50" s="135"/>
      <c r="F50" s="136"/>
      <c r="G50" s="146"/>
      <c r="H50" s="136"/>
      <c r="I50" s="146"/>
      <c r="J50" s="136"/>
      <c r="K50" s="146"/>
      <c r="L50" s="136"/>
      <c r="M50" s="146"/>
      <c r="N50" s="136"/>
      <c r="O50" s="146"/>
      <c r="P50" s="136"/>
      <c r="Q50" s="146"/>
      <c r="R50" s="136">
        <f t="shared" si="3"/>
        <v>0</v>
      </c>
      <c r="S50" s="150">
        <f t="shared" si="4"/>
        <v>0</v>
      </c>
      <c r="T50" s="137"/>
      <c r="U50" s="138">
        <f t="shared" si="2"/>
        <v>0</v>
      </c>
    </row>
    <row r="51" spans="2:21" x14ac:dyDescent="0.8">
      <c r="B51" s="134">
        <v>45</v>
      </c>
      <c r="C51" s="135"/>
      <c r="D51" s="136"/>
      <c r="E51" s="135"/>
      <c r="F51" s="136"/>
      <c r="G51" s="146"/>
      <c r="H51" s="136"/>
      <c r="I51" s="146"/>
      <c r="J51" s="136"/>
      <c r="K51" s="146"/>
      <c r="L51" s="136"/>
      <c r="M51" s="146"/>
      <c r="N51" s="136"/>
      <c r="O51" s="146"/>
      <c r="P51" s="136"/>
      <c r="Q51" s="146"/>
      <c r="R51" s="136">
        <f t="shared" si="3"/>
        <v>0</v>
      </c>
      <c r="S51" s="150">
        <f t="shared" si="4"/>
        <v>0</v>
      </c>
      <c r="T51" s="137"/>
      <c r="U51" s="138">
        <f t="shared" si="2"/>
        <v>0</v>
      </c>
    </row>
    <row r="52" spans="2:21" x14ac:dyDescent="0.8">
      <c r="B52" s="134">
        <v>46</v>
      </c>
      <c r="C52" s="135"/>
      <c r="D52" s="136"/>
      <c r="E52" s="135"/>
      <c r="F52" s="136"/>
      <c r="G52" s="146"/>
      <c r="H52" s="136"/>
      <c r="I52" s="146"/>
      <c r="J52" s="136"/>
      <c r="K52" s="146"/>
      <c r="L52" s="136"/>
      <c r="M52" s="146"/>
      <c r="N52" s="136"/>
      <c r="O52" s="146"/>
      <c r="P52" s="136"/>
      <c r="Q52" s="146"/>
      <c r="R52" s="136">
        <f t="shared" si="3"/>
        <v>0</v>
      </c>
      <c r="S52" s="150">
        <f t="shared" si="4"/>
        <v>0</v>
      </c>
      <c r="T52" s="137"/>
      <c r="U52" s="138">
        <f t="shared" si="2"/>
        <v>0</v>
      </c>
    </row>
    <row r="53" spans="2:21" x14ac:dyDescent="0.8">
      <c r="B53" s="134">
        <v>47</v>
      </c>
      <c r="C53" s="135"/>
      <c r="D53" s="136"/>
      <c r="E53" s="135"/>
      <c r="F53" s="136"/>
      <c r="G53" s="146"/>
      <c r="H53" s="136"/>
      <c r="I53" s="146"/>
      <c r="J53" s="136"/>
      <c r="K53" s="146"/>
      <c r="L53" s="136"/>
      <c r="M53" s="146"/>
      <c r="N53" s="136"/>
      <c r="O53" s="146"/>
      <c r="P53" s="136"/>
      <c r="Q53" s="146"/>
      <c r="R53" s="136">
        <f t="shared" si="0"/>
        <v>0</v>
      </c>
      <c r="S53" s="150">
        <f t="shared" si="1"/>
        <v>0</v>
      </c>
      <c r="T53" s="137"/>
      <c r="U53" s="138">
        <f t="shared" si="2"/>
        <v>0</v>
      </c>
    </row>
    <row r="54" spans="2:21" x14ac:dyDescent="0.8">
      <c r="B54" s="134">
        <v>48</v>
      </c>
      <c r="C54" s="135"/>
      <c r="D54" s="136"/>
      <c r="E54" s="135"/>
      <c r="F54" s="136"/>
      <c r="G54" s="146"/>
      <c r="H54" s="136"/>
      <c r="I54" s="146"/>
      <c r="J54" s="136"/>
      <c r="K54" s="146"/>
      <c r="L54" s="136"/>
      <c r="M54" s="146"/>
      <c r="N54" s="136"/>
      <c r="O54" s="146"/>
      <c r="P54" s="136"/>
      <c r="Q54" s="146"/>
      <c r="R54" s="136">
        <f t="shared" si="0"/>
        <v>0</v>
      </c>
      <c r="S54" s="150">
        <f t="shared" si="1"/>
        <v>0</v>
      </c>
      <c r="T54" s="137"/>
      <c r="U54" s="138">
        <f t="shared" si="2"/>
        <v>0</v>
      </c>
    </row>
    <row r="55" spans="2:21" x14ac:dyDescent="0.8">
      <c r="B55" s="134">
        <v>49</v>
      </c>
      <c r="C55" s="135"/>
      <c r="D55" s="136"/>
      <c r="E55" s="135"/>
      <c r="F55" s="136"/>
      <c r="G55" s="146"/>
      <c r="H55" s="136"/>
      <c r="I55" s="146"/>
      <c r="J55" s="136"/>
      <c r="K55" s="146"/>
      <c r="L55" s="136"/>
      <c r="M55" s="146"/>
      <c r="N55" s="136"/>
      <c r="O55" s="146"/>
      <c r="P55" s="136"/>
      <c r="Q55" s="146"/>
      <c r="R55" s="136">
        <f t="shared" si="0"/>
        <v>0</v>
      </c>
      <c r="S55" s="150">
        <f t="shared" si="1"/>
        <v>0</v>
      </c>
      <c r="T55" s="137"/>
      <c r="U55" s="138">
        <f t="shared" si="2"/>
        <v>0</v>
      </c>
    </row>
    <row r="56" spans="2:21" x14ac:dyDescent="0.8">
      <c r="B56" s="134">
        <v>50</v>
      </c>
      <c r="C56" s="135"/>
      <c r="D56" s="136"/>
      <c r="E56" s="135"/>
      <c r="F56" s="136"/>
      <c r="G56" s="146"/>
      <c r="H56" s="136"/>
      <c r="I56" s="146"/>
      <c r="J56" s="136"/>
      <c r="K56" s="146"/>
      <c r="L56" s="136"/>
      <c r="M56" s="146"/>
      <c r="N56" s="136"/>
      <c r="O56" s="146"/>
      <c r="P56" s="136"/>
      <c r="Q56" s="146"/>
      <c r="R56" s="136">
        <f t="shared" si="0"/>
        <v>0</v>
      </c>
      <c r="S56" s="150">
        <f t="shared" si="1"/>
        <v>0</v>
      </c>
      <c r="T56" s="137"/>
      <c r="U56" s="138">
        <f t="shared" si="2"/>
        <v>0</v>
      </c>
    </row>
    <row r="57" spans="2:21" ht="25.2" thickBot="1" x14ac:dyDescent="0.85">
      <c r="B57" s="134">
        <v>51</v>
      </c>
      <c r="C57" s="135"/>
      <c r="D57" s="136"/>
      <c r="E57" s="135"/>
      <c r="F57" s="136"/>
      <c r="G57" s="146"/>
      <c r="H57" s="136"/>
      <c r="I57" s="146"/>
      <c r="J57" s="136"/>
      <c r="K57" s="146"/>
      <c r="L57" s="136"/>
      <c r="M57" s="146"/>
      <c r="N57" s="136"/>
      <c r="O57" s="146"/>
      <c r="P57" s="136"/>
      <c r="Q57" s="146"/>
      <c r="R57" s="136">
        <f t="shared" si="0"/>
        <v>0</v>
      </c>
      <c r="S57" s="150">
        <f>+SUM(E57,G57,I57,K57,M57,O57,Q57)</f>
        <v>0</v>
      </c>
      <c r="T57" s="137"/>
      <c r="U57" s="138">
        <f t="shared" si="2"/>
        <v>0</v>
      </c>
    </row>
    <row r="58" spans="2:21" ht="25.8" thickTop="1" thickBot="1" x14ac:dyDescent="0.9">
      <c r="B58" s="139" t="s">
        <v>360</v>
      </c>
      <c r="C58" s="140"/>
      <c r="D58" s="141">
        <f>SUM(D7:D57)</f>
        <v>0</v>
      </c>
      <c r="E58" s="142">
        <f t="shared" ref="E58:Q58" si="5">SUM(E7:E57)</f>
        <v>0</v>
      </c>
      <c r="F58" s="141">
        <f t="shared" si="5"/>
        <v>0</v>
      </c>
      <c r="G58" s="151">
        <f t="shared" si="5"/>
        <v>9631.25</v>
      </c>
      <c r="H58" s="141">
        <f t="shared" si="5"/>
        <v>0</v>
      </c>
      <c r="I58" s="147">
        <f t="shared" si="5"/>
        <v>0</v>
      </c>
      <c r="J58" s="141">
        <f t="shared" si="5"/>
        <v>0</v>
      </c>
      <c r="K58" s="147">
        <f t="shared" si="5"/>
        <v>0</v>
      </c>
      <c r="L58" s="141">
        <f t="shared" si="5"/>
        <v>0</v>
      </c>
      <c r="M58" s="147">
        <f t="shared" si="5"/>
        <v>0</v>
      </c>
      <c r="N58" s="141">
        <f t="shared" si="5"/>
        <v>0</v>
      </c>
      <c r="O58" s="147">
        <f t="shared" si="5"/>
        <v>0</v>
      </c>
      <c r="P58" s="141">
        <f t="shared" si="5"/>
        <v>0</v>
      </c>
      <c r="Q58" s="147">
        <f t="shared" si="5"/>
        <v>0</v>
      </c>
      <c r="R58" s="141">
        <f>+SUM(P58,N58,L58,J58,H58,F58,D58)</f>
        <v>0</v>
      </c>
      <c r="S58" s="151">
        <f>+SUM(E58,G58,I58,K58,M58,O58,Q58)</f>
        <v>9631.25</v>
      </c>
      <c r="T58" s="143">
        <f>SUBTOTAL(109,MACONS!$T$7:$T$30)</f>
        <v>0</v>
      </c>
      <c r="U58" s="144">
        <f>SUBTOTAL(109,MACONS!$U$7:$U$30)</f>
        <v>197500</v>
      </c>
    </row>
    <row r="60" spans="2:21" x14ac:dyDescent="0.8">
      <c r="P60" s="96" t="s">
        <v>361</v>
      </c>
      <c r="R60" s="125">
        <f>+MACONS!$R$31-SUM('SUIVI HEBDOMADAIRE PAIE'!D7,'SUIVI HEBDOMADAIRE PAIE'!F7,'SUIVI HEBDOMADAIRE PAIE'!H7,'SUIVI HEBDOMADAIRE PAIE'!J7,'SUIVI HEBDOMADAIRE PAIE'!L7,'SUIVI HEBDOMADAIRE PAIE'!N7,'SUIVI HEBDOMADAIRE PAIE'!P7)</f>
        <v>0</v>
      </c>
      <c r="S60" s="125"/>
    </row>
  </sheetData>
  <mergeCells count="13">
    <mergeCell ref="B3:U3"/>
    <mergeCell ref="B5:B6"/>
    <mergeCell ref="C5:C6"/>
    <mergeCell ref="D5:E5"/>
    <mergeCell ref="F5:G5"/>
    <mergeCell ref="H5:I5"/>
    <mergeCell ref="J5:K5"/>
    <mergeCell ref="L5:M5"/>
    <mergeCell ref="N5:O5"/>
    <mergeCell ref="P5:Q5"/>
    <mergeCell ref="R5:S5"/>
    <mergeCell ref="T5:T6"/>
    <mergeCell ref="U5:U6"/>
  </mergeCells>
  <conditionalFormatting sqref="C7:C49">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6</vt:i4>
      </vt:variant>
    </vt:vector>
  </HeadingPairs>
  <TitlesOfParts>
    <vt:vector size="18" baseType="lpstr">
      <vt:lpstr>Lot 1 - SONGON - DQE</vt:lpstr>
      <vt:lpstr>Feuil2</vt:lpstr>
      <vt:lpstr>Instruction</vt:lpstr>
      <vt:lpstr>SUIVI HEBDOMADAIRE PAIE</vt:lpstr>
      <vt:lpstr>MACONS</vt:lpstr>
      <vt:lpstr>FERRAILLEURS</vt:lpstr>
      <vt:lpstr>COFFREURS</vt:lpstr>
      <vt:lpstr>PLOMBIERS</vt:lpstr>
      <vt:lpstr>CONDUCTEUR D'ENGINS</vt:lpstr>
      <vt:lpstr>OPERATEUR BETONNIERE</vt:lpstr>
      <vt:lpstr>AIDE CHANTIER</vt:lpstr>
      <vt:lpstr>HEURES SUP</vt:lpstr>
      <vt:lpstr>'Lot 1 - SONGON - DQE'!_Hlk140489412</vt:lpstr>
      <vt:lpstr>D</vt:lpstr>
      <vt:lpstr>'Lot 1 - SONGON - DQE'!Impression_des_titres</vt:lpstr>
      <vt:lpstr>Feuil2!Zone_d_impression</vt:lpstr>
      <vt:lpstr>'Lot 1 - SONGON - DQE'!Zone_d_impression</vt:lpstr>
      <vt:lpstr>'SUIVI HEBDOMADAIRE PAIE'!Zone_d_impression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DEMIGNOU SIDIQ TOURE</dc:creator>
  <cp:lastModifiedBy>Mohamed YACOUBA</cp:lastModifiedBy>
  <cp:lastPrinted>2026-07-03T16:09:52Z</cp:lastPrinted>
  <dcterms:created xsi:type="dcterms:W3CDTF">2025-10-29T16:41:08Z</dcterms:created>
  <dcterms:modified xsi:type="dcterms:W3CDTF">2026-07-12T12:56:25Z</dcterms:modified>
</cp:coreProperties>
</file>